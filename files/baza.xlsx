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ЗА" sheetId="1" r:id="rId5"/>
    <sheet state="visible" name="ОТЧЕТ_ЗАВУЧ" sheetId="2" r:id="rId6"/>
    <sheet state="visible" name="ОТЧЕТ_ПСИХОЛОГ" sheetId="3" r:id="rId7"/>
    <sheet state="visible" name="ОТЧЕТ_СОЦ" sheetId="4" r:id="rId8"/>
  </sheets>
  <definedNames>
    <definedName hidden="1" localSheetId="0" name="_xlnm._FilterDatabase">'БАЗА'!$A$1:$G$31</definedName>
  </definedNames>
  <calcPr/>
</workbook>
</file>

<file path=xl/sharedStrings.xml><?xml version="1.0" encoding="utf-8"?>
<sst xmlns="http://schemas.openxmlformats.org/spreadsheetml/2006/main" count="181" uniqueCount="44">
  <si>
    <t>ID</t>
  </si>
  <si>
    <t>ФИО</t>
  </si>
  <si>
    <t>Класс</t>
  </si>
  <si>
    <t>Соц_Статус</t>
  </si>
  <si>
    <t>Здоровье</t>
  </si>
  <si>
    <t>Психолог</t>
  </si>
  <si>
    <t>Ср_Балл</t>
  </si>
  <si>
    <t>Иванов Дмитрий</t>
  </si>
  <si>
    <t>5А</t>
  </si>
  <si>
    <t>Многодетная</t>
  </si>
  <si>
    <t>Подготовительная</t>
  </si>
  <si>
    <t>Норма</t>
  </si>
  <si>
    <t>Смирнов Александр</t>
  </si>
  <si>
    <t>Неполная</t>
  </si>
  <si>
    <t>Спец. группа</t>
  </si>
  <si>
    <t>Группа риска</t>
  </si>
  <si>
    <t>Попов Сергей</t>
  </si>
  <si>
    <t>Малообеспеченная</t>
  </si>
  <si>
    <t>Михайлов Мария</t>
  </si>
  <si>
    <t>Кузнецов Сергей</t>
  </si>
  <si>
    <t>Михайлова Дарья</t>
  </si>
  <si>
    <t>Основная</t>
  </si>
  <si>
    <t>Соколов Дмитрий</t>
  </si>
  <si>
    <t>Петров Максим</t>
  </si>
  <si>
    <t>Попова Дарья</t>
  </si>
  <si>
    <t>Соколов Мария</t>
  </si>
  <si>
    <t>Попов Дмитрий</t>
  </si>
  <si>
    <t>Соколов Максим</t>
  </si>
  <si>
    <t>Соколов Александр</t>
  </si>
  <si>
    <t>Полная семья</t>
  </si>
  <si>
    <t>Петрова Дарья</t>
  </si>
  <si>
    <t>Кузнецов Александр</t>
  </si>
  <si>
    <t>Васильев Александр</t>
  </si>
  <si>
    <t>Смирнов Максим</t>
  </si>
  <si>
    <t>Васильева Анна</t>
  </si>
  <si>
    <t>Васильев Максим</t>
  </si>
  <si>
    <t>Петрова Елена</t>
  </si>
  <si>
    <t>Смирнова Дарья</t>
  </si>
  <si>
    <t>Михайлова Анна</t>
  </si>
  <si>
    <t>Петров Александр</t>
  </si>
  <si>
    <t>Смирнова Мария</t>
  </si>
  <si>
    <t>Автоматический отчет: Ученики со средним баллом ниже 3.5</t>
  </si>
  <si>
    <t>Автоматический отчет: Группа риска и учет</t>
  </si>
  <si>
    <t>Автоматический отчет: Многодетные, неполные и малообеспеченные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</si>
</sst>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rgb="FF808080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0" fillId="0" fontId="3" numFmtId="0" xfId="0" applyFont="1"/>
    <xf borderId="1" fillId="3" fontId="1" numFmtId="0" xfId="0" applyAlignment="1" applyBorder="1" applyFill="1" applyFont="1">
      <alignment horizont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>
        <v>2.51</v>
      </c>
    </row>
    <row r="3">
      <c r="A3" s="2">
        <v>2.0</v>
      </c>
      <c r="B3" s="2" t="s">
        <v>12</v>
      </c>
      <c r="C3" s="2" t="s">
        <v>8</v>
      </c>
      <c r="D3" s="2" t="s">
        <v>13</v>
      </c>
      <c r="E3" s="2" t="s">
        <v>14</v>
      </c>
      <c r="F3" s="2" t="s">
        <v>15</v>
      </c>
      <c r="G3" s="2">
        <v>3.7</v>
      </c>
    </row>
    <row r="4">
      <c r="A4" s="2">
        <v>3.0</v>
      </c>
      <c r="B4" s="2" t="s">
        <v>16</v>
      </c>
      <c r="C4" s="2" t="s">
        <v>8</v>
      </c>
      <c r="D4" s="2" t="s">
        <v>17</v>
      </c>
      <c r="E4" s="2" t="s">
        <v>10</v>
      </c>
      <c r="F4" s="2" t="s">
        <v>15</v>
      </c>
      <c r="G4" s="2">
        <v>3.29</v>
      </c>
    </row>
    <row r="5">
      <c r="A5" s="2">
        <v>4.0</v>
      </c>
      <c r="B5" s="2" t="s">
        <v>18</v>
      </c>
      <c r="C5" s="2" t="s">
        <v>8</v>
      </c>
      <c r="D5" s="2" t="s">
        <v>13</v>
      </c>
      <c r="E5" s="2" t="s">
        <v>10</v>
      </c>
      <c r="F5" s="2" t="s">
        <v>11</v>
      </c>
      <c r="G5" s="2">
        <v>4.0</v>
      </c>
    </row>
    <row r="6">
      <c r="A6" s="2">
        <v>5.0</v>
      </c>
      <c r="B6" s="2" t="s">
        <v>19</v>
      </c>
      <c r="C6" s="2" t="s">
        <v>8</v>
      </c>
      <c r="D6" s="2" t="s">
        <v>9</v>
      </c>
      <c r="E6" s="2" t="s">
        <v>10</v>
      </c>
      <c r="F6" s="2" t="s">
        <v>15</v>
      </c>
      <c r="G6" s="2">
        <v>3.97</v>
      </c>
    </row>
    <row r="7">
      <c r="A7" s="2">
        <v>6.0</v>
      </c>
      <c r="B7" s="3" t="s">
        <v>20</v>
      </c>
      <c r="C7" s="2" t="s">
        <v>8</v>
      </c>
      <c r="D7" s="2" t="s">
        <v>9</v>
      </c>
      <c r="E7" s="2" t="s">
        <v>21</v>
      </c>
      <c r="F7" s="2" t="s">
        <v>11</v>
      </c>
      <c r="G7" s="2">
        <v>3.29</v>
      </c>
    </row>
    <row r="8">
      <c r="A8" s="2">
        <v>7.0</v>
      </c>
      <c r="B8" s="2" t="s">
        <v>22</v>
      </c>
      <c r="C8" s="2" t="s">
        <v>8</v>
      </c>
      <c r="D8" s="2" t="s">
        <v>9</v>
      </c>
      <c r="E8" s="2" t="s">
        <v>10</v>
      </c>
      <c r="F8" s="2" t="s">
        <v>11</v>
      </c>
      <c r="G8" s="2">
        <v>3.98</v>
      </c>
    </row>
    <row r="9">
      <c r="A9" s="2">
        <v>8.0</v>
      </c>
      <c r="B9" s="2" t="s">
        <v>19</v>
      </c>
      <c r="C9" s="2" t="s">
        <v>8</v>
      </c>
      <c r="D9" s="2" t="s">
        <v>17</v>
      </c>
      <c r="E9" s="2" t="s">
        <v>21</v>
      </c>
      <c r="F9" s="2" t="s">
        <v>11</v>
      </c>
      <c r="G9" s="2">
        <v>3.49</v>
      </c>
    </row>
    <row r="10">
      <c r="A10" s="2">
        <v>9.0</v>
      </c>
      <c r="B10" s="2" t="s">
        <v>23</v>
      </c>
      <c r="C10" s="2" t="s">
        <v>8</v>
      </c>
      <c r="D10" s="2" t="s">
        <v>9</v>
      </c>
      <c r="E10" s="2" t="s">
        <v>10</v>
      </c>
      <c r="F10" s="2" t="s">
        <v>15</v>
      </c>
      <c r="G10" s="2">
        <v>4.08</v>
      </c>
    </row>
    <row r="11">
      <c r="A11" s="2">
        <v>10.0</v>
      </c>
      <c r="B11" s="3" t="s">
        <v>24</v>
      </c>
      <c r="C11" s="2" t="s">
        <v>8</v>
      </c>
      <c r="D11" s="2" t="s">
        <v>9</v>
      </c>
      <c r="E11" s="2" t="s">
        <v>14</v>
      </c>
      <c r="F11" s="2" t="s">
        <v>11</v>
      </c>
      <c r="G11" s="2">
        <v>2.71</v>
      </c>
    </row>
    <row r="12">
      <c r="A12" s="2">
        <v>11.0</v>
      </c>
      <c r="B12" s="2" t="s">
        <v>25</v>
      </c>
      <c r="C12" s="2" t="s">
        <v>8</v>
      </c>
      <c r="D12" s="2" t="s">
        <v>9</v>
      </c>
      <c r="E12" s="2" t="s">
        <v>10</v>
      </c>
      <c r="F12" s="2" t="s">
        <v>11</v>
      </c>
      <c r="G12" s="2">
        <v>4.14</v>
      </c>
    </row>
    <row r="13">
      <c r="A13" s="2">
        <v>12.0</v>
      </c>
      <c r="B13" s="2" t="s">
        <v>26</v>
      </c>
      <c r="C13" s="2" t="s">
        <v>8</v>
      </c>
      <c r="D13" s="2" t="s">
        <v>13</v>
      </c>
      <c r="E13" s="2" t="s">
        <v>10</v>
      </c>
      <c r="F13" s="2" t="s">
        <v>11</v>
      </c>
      <c r="G13" s="2">
        <v>4.38</v>
      </c>
    </row>
    <row r="14">
      <c r="A14" s="2">
        <v>13.0</v>
      </c>
      <c r="B14" s="2" t="s">
        <v>27</v>
      </c>
      <c r="C14" s="2" t="s">
        <v>8</v>
      </c>
      <c r="D14" s="2" t="s">
        <v>13</v>
      </c>
      <c r="E14" s="2" t="s">
        <v>14</v>
      </c>
      <c r="F14" s="2" t="s">
        <v>15</v>
      </c>
      <c r="G14" s="2">
        <v>4.32</v>
      </c>
    </row>
    <row r="15">
      <c r="A15" s="2">
        <v>14.0</v>
      </c>
      <c r="B15" s="2" t="s">
        <v>28</v>
      </c>
      <c r="C15" s="2" t="s">
        <v>8</v>
      </c>
      <c r="D15" s="2" t="s">
        <v>29</v>
      </c>
      <c r="E15" s="2" t="s">
        <v>21</v>
      </c>
      <c r="F15" s="2" t="s">
        <v>11</v>
      </c>
      <c r="G15" s="2">
        <v>2.58</v>
      </c>
    </row>
    <row r="16">
      <c r="A16" s="2">
        <v>15.0</v>
      </c>
      <c r="B16" s="2" t="s">
        <v>27</v>
      </c>
      <c r="C16" s="2" t="s">
        <v>8</v>
      </c>
      <c r="D16" s="2" t="s">
        <v>9</v>
      </c>
      <c r="E16" s="2" t="s">
        <v>10</v>
      </c>
      <c r="F16" s="2" t="s">
        <v>11</v>
      </c>
      <c r="G16" s="2">
        <v>2.53</v>
      </c>
    </row>
    <row r="17">
      <c r="A17" s="2">
        <v>16.0</v>
      </c>
      <c r="B17" s="3" t="s">
        <v>30</v>
      </c>
      <c r="C17" s="2" t="s">
        <v>8</v>
      </c>
      <c r="D17" s="2" t="s">
        <v>9</v>
      </c>
      <c r="E17" s="2" t="s">
        <v>10</v>
      </c>
      <c r="F17" s="2" t="s">
        <v>11</v>
      </c>
      <c r="G17" s="2">
        <v>3.54</v>
      </c>
    </row>
    <row r="18">
      <c r="A18" s="2">
        <v>17.0</v>
      </c>
      <c r="B18" s="2" t="s">
        <v>31</v>
      </c>
      <c r="C18" s="2" t="s">
        <v>8</v>
      </c>
      <c r="D18" s="2" t="s">
        <v>17</v>
      </c>
      <c r="E18" s="2" t="s">
        <v>21</v>
      </c>
      <c r="F18" s="2" t="s">
        <v>11</v>
      </c>
      <c r="G18" s="2">
        <v>3.61</v>
      </c>
    </row>
    <row r="19">
      <c r="A19" s="2">
        <v>18.0</v>
      </c>
      <c r="B19" s="3" t="s">
        <v>20</v>
      </c>
      <c r="C19" s="2" t="s">
        <v>8</v>
      </c>
      <c r="D19" s="2" t="s">
        <v>29</v>
      </c>
      <c r="E19" s="2" t="s">
        <v>21</v>
      </c>
      <c r="F19" s="2" t="s">
        <v>11</v>
      </c>
      <c r="G19" s="2">
        <v>3.21</v>
      </c>
    </row>
    <row r="20">
      <c r="A20" s="2">
        <v>19.0</v>
      </c>
      <c r="B20" s="2" t="s">
        <v>32</v>
      </c>
      <c r="C20" s="2" t="s">
        <v>8</v>
      </c>
      <c r="D20" s="2" t="s">
        <v>29</v>
      </c>
      <c r="E20" s="2" t="s">
        <v>21</v>
      </c>
      <c r="F20" s="2" t="s">
        <v>11</v>
      </c>
      <c r="G20" s="2">
        <v>3.91</v>
      </c>
    </row>
    <row r="21" ht="15.75" customHeight="1">
      <c r="A21" s="2">
        <v>20.0</v>
      </c>
      <c r="B21" s="2" t="s">
        <v>33</v>
      </c>
      <c r="C21" s="2" t="s">
        <v>8</v>
      </c>
      <c r="D21" s="2" t="s">
        <v>29</v>
      </c>
      <c r="E21" s="2" t="s">
        <v>21</v>
      </c>
      <c r="F21" s="2" t="s">
        <v>11</v>
      </c>
      <c r="G21" s="2">
        <v>2.63</v>
      </c>
    </row>
    <row r="22" ht="15.75" customHeight="1">
      <c r="A22" s="2">
        <v>21.0</v>
      </c>
      <c r="B22" s="3" t="s">
        <v>34</v>
      </c>
      <c r="C22" s="2" t="s">
        <v>8</v>
      </c>
      <c r="D22" s="2" t="s">
        <v>29</v>
      </c>
      <c r="E22" s="2" t="s">
        <v>14</v>
      </c>
      <c r="F22" s="2" t="s">
        <v>11</v>
      </c>
      <c r="G22" s="2">
        <v>4.91</v>
      </c>
    </row>
    <row r="23" ht="15.75" customHeight="1">
      <c r="A23" s="2">
        <v>22.0</v>
      </c>
      <c r="B23" s="2" t="s">
        <v>35</v>
      </c>
      <c r="C23" s="2" t="s">
        <v>8</v>
      </c>
      <c r="D23" s="2" t="s">
        <v>17</v>
      </c>
      <c r="E23" s="2" t="s">
        <v>14</v>
      </c>
      <c r="F23" s="2" t="s">
        <v>11</v>
      </c>
      <c r="G23" s="2">
        <v>2.74</v>
      </c>
    </row>
    <row r="24" ht="15.75" customHeight="1">
      <c r="A24" s="2">
        <v>23.0</v>
      </c>
      <c r="B24" s="3" t="s">
        <v>34</v>
      </c>
      <c r="C24" s="2" t="s">
        <v>8</v>
      </c>
      <c r="D24" s="2" t="s">
        <v>13</v>
      </c>
      <c r="E24" s="2" t="s">
        <v>14</v>
      </c>
      <c r="F24" s="2" t="s">
        <v>11</v>
      </c>
      <c r="G24" s="2">
        <v>3.5</v>
      </c>
    </row>
    <row r="25" ht="15.75" customHeight="1">
      <c r="A25" s="2">
        <v>24.0</v>
      </c>
      <c r="B25" s="3" t="s">
        <v>36</v>
      </c>
      <c r="C25" s="2" t="s">
        <v>8</v>
      </c>
      <c r="D25" s="2" t="s">
        <v>29</v>
      </c>
      <c r="E25" s="2" t="s">
        <v>14</v>
      </c>
      <c r="F25" s="2" t="s">
        <v>11</v>
      </c>
      <c r="G25" s="2">
        <v>3.43</v>
      </c>
    </row>
    <row r="26" ht="15.75" customHeight="1">
      <c r="A26" s="2">
        <v>25.0</v>
      </c>
      <c r="B26" s="3" t="s">
        <v>37</v>
      </c>
      <c r="C26" s="2" t="s">
        <v>8</v>
      </c>
      <c r="D26" s="2" t="s">
        <v>29</v>
      </c>
      <c r="E26" s="2" t="s">
        <v>21</v>
      </c>
      <c r="F26" s="2" t="s">
        <v>11</v>
      </c>
      <c r="G26" s="2">
        <v>4.49</v>
      </c>
    </row>
    <row r="27" ht="15.75" customHeight="1">
      <c r="A27" s="2">
        <v>26.0</v>
      </c>
      <c r="B27" s="3" t="s">
        <v>38</v>
      </c>
      <c r="C27" s="2" t="s">
        <v>8</v>
      </c>
      <c r="D27" s="2" t="s">
        <v>17</v>
      </c>
      <c r="E27" s="2" t="s">
        <v>14</v>
      </c>
      <c r="F27" s="2" t="s">
        <v>11</v>
      </c>
      <c r="G27" s="2">
        <v>3.77</v>
      </c>
    </row>
    <row r="28" ht="15.75" customHeight="1">
      <c r="A28" s="2">
        <v>27.0</v>
      </c>
      <c r="B28" s="2" t="s">
        <v>39</v>
      </c>
      <c r="C28" s="2" t="s">
        <v>8</v>
      </c>
      <c r="D28" s="2" t="s">
        <v>9</v>
      </c>
      <c r="E28" s="2" t="s">
        <v>10</v>
      </c>
      <c r="F28" s="2" t="s">
        <v>11</v>
      </c>
      <c r="G28" s="2">
        <v>3.04</v>
      </c>
    </row>
    <row r="29" ht="15.75" customHeight="1">
      <c r="A29" s="2">
        <v>28.0</v>
      </c>
      <c r="B29" s="3" t="s">
        <v>20</v>
      </c>
      <c r="C29" s="2" t="s">
        <v>8</v>
      </c>
      <c r="D29" s="2" t="s">
        <v>29</v>
      </c>
      <c r="E29" s="2" t="s">
        <v>21</v>
      </c>
      <c r="F29" s="2" t="s">
        <v>11</v>
      </c>
      <c r="G29" s="2">
        <v>4.32</v>
      </c>
    </row>
    <row r="30" ht="15.75" customHeight="1">
      <c r="A30" s="2">
        <v>29.0</v>
      </c>
      <c r="B30" s="3" t="s">
        <v>40</v>
      </c>
      <c r="C30" s="2" t="s">
        <v>8</v>
      </c>
      <c r="D30" s="2" t="s">
        <v>13</v>
      </c>
      <c r="E30" s="2" t="s">
        <v>10</v>
      </c>
      <c r="F30" s="2" t="s">
        <v>15</v>
      </c>
      <c r="G30" s="2">
        <v>2.79</v>
      </c>
    </row>
    <row r="31" ht="15.75" customHeight="1">
      <c r="A31" s="2">
        <v>30.0</v>
      </c>
      <c r="B31" s="2" t="s">
        <v>19</v>
      </c>
      <c r="C31" s="2" t="s">
        <v>8</v>
      </c>
      <c r="D31" s="2" t="s">
        <v>9</v>
      </c>
      <c r="E31" s="2" t="s">
        <v>14</v>
      </c>
      <c r="F31" s="2" t="s">
        <v>11</v>
      </c>
      <c r="G31" s="2">
        <v>3.0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3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71"/>
    <col customWidth="1" min="8" max="26" width="8.71"/>
  </cols>
  <sheetData>
    <row r="1">
      <c r="A1" s="4" t="s">
        <v>41</v>
      </c>
    </row>
    <row r="2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</row>
    <row r="3">
      <c r="A3" s="2">
        <f>IFERROR(__xludf.DUMMYFUNCTION("FILTER('БАЗА'!A2:G100, 'БАЗА'!G2:G100 &lt; 3.5)"),1.0)</f>
        <v>1</v>
      </c>
      <c r="B3" s="6" t="str">
        <f>IFERROR(__xludf.DUMMYFUNCTION("""COMPUTED_VALUE"""),"Иванов Дмитрий")</f>
        <v>Иванов Дмитрий</v>
      </c>
      <c r="C3" s="6" t="str">
        <f>IFERROR(__xludf.DUMMYFUNCTION("""COMPUTED_VALUE"""),"5А")</f>
        <v>5А</v>
      </c>
      <c r="D3" s="6" t="str">
        <f>IFERROR(__xludf.DUMMYFUNCTION("""COMPUTED_VALUE"""),"Многодетная")</f>
        <v>Многодетная</v>
      </c>
      <c r="E3" s="6" t="str">
        <f>IFERROR(__xludf.DUMMYFUNCTION("""COMPUTED_VALUE"""),"Подготовительная")</f>
        <v>Подготовительная</v>
      </c>
      <c r="F3" s="6" t="str">
        <f>IFERROR(__xludf.DUMMYFUNCTION("""COMPUTED_VALUE"""),"Норма")</f>
        <v>Норма</v>
      </c>
      <c r="G3" s="6">
        <f>IFERROR(__xludf.DUMMYFUNCTION("""COMPUTED_VALUE"""),2.51)</f>
        <v>2.51</v>
      </c>
    </row>
    <row r="4">
      <c r="A4" s="6">
        <f>IFERROR(__xludf.DUMMYFUNCTION("""COMPUTED_VALUE"""),3.0)</f>
        <v>3</v>
      </c>
      <c r="B4" s="6" t="str">
        <f>IFERROR(__xludf.DUMMYFUNCTION("""COMPUTED_VALUE"""),"Попов Сергей")</f>
        <v>Попов Сергей</v>
      </c>
      <c r="C4" s="6" t="str">
        <f>IFERROR(__xludf.DUMMYFUNCTION("""COMPUTED_VALUE"""),"5А")</f>
        <v>5А</v>
      </c>
      <c r="D4" s="6" t="str">
        <f>IFERROR(__xludf.DUMMYFUNCTION("""COMPUTED_VALUE"""),"Малообеспеченная")</f>
        <v>Малообеспеченная</v>
      </c>
      <c r="E4" s="6" t="str">
        <f>IFERROR(__xludf.DUMMYFUNCTION("""COMPUTED_VALUE"""),"Подготовительная")</f>
        <v>Подготовительная</v>
      </c>
      <c r="F4" s="6" t="str">
        <f>IFERROR(__xludf.DUMMYFUNCTION("""COMPUTED_VALUE"""),"Группа риска")</f>
        <v>Группа риска</v>
      </c>
      <c r="G4" s="6">
        <f>IFERROR(__xludf.DUMMYFUNCTION("""COMPUTED_VALUE"""),3.29)</f>
        <v>3.29</v>
      </c>
    </row>
    <row r="5">
      <c r="A5" s="6">
        <f>IFERROR(__xludf.DUMMYFUNCTION("""COMPUTED_VALUE"""),6.0)</f>
        <v>6</v>
      </c>
      <c r="B5" s="6" t="str">
        <f>IFERROR(__xludf.DUMMYFUNCTION("""COMPUTED_VALUE"""),"Михайлова Дарья")</f>
        <v>Михайлова Дарья</v>
      </c>
      <c r="C5" s="6" t="str">
        <f>IFERROR(__xludf.DUMMYFUNCTION("""COMPUTED_VALUE"""),"5А")</f>
        <v>5А</v>
      </c>
      <c r="D5" s="6" t="str">
        <f>IFERROR(__xludf.DUMMYFUNCTION("""COMPUTED_VALUE"""),"Многодетная")</f>
        <v>Многодетная</v>
      </c>
      <c r="E5" s="6" t="str">
        <f>IFERROR(__xludf.DUMMYFUNCTION("""COMPUTED_VALUE"""),"Основная")</f>
        <v>Основная</v>
      </c>
      <c r="F5" s="6" t="str">
        <f>IFERROR(__xludf.DUMMYFUNCTION("""COMPUTED_VALUE"""),"Норма")</f>
        <v>Норма</v>
      </c>
      <c r="G5" s="6">
        <f>IFERROR(__xludf.DUMMYFUNCTION("""COMPUTED_VALUE"""),3.29)</f>
        <v>3.29</v>
      </c>
    </row>
    <row r="6">
      <c r="A6" s="6">
        <f>IFERROR(__xludf.DUMMYFUNCTION("""COMPUTED_VALUE"""),8.0)</f>
        <v>8</v>
      </c>
      <c r="B6" s="6" t="str">
        <f>IFERROR(__xludf.DUMMYFUNCTION("""COMPUTED_VALUE"""),"Кузнецов Сергей")</f>
        <v>Кузнецов Сергей</v>
      </c>
      <c r="C6" s="6" t="str">
        <f>IFERROR(__xludf.DUMMYFUNCTION("""COMPUTED_VALUE"""),"5А")</f>
        <v>5А</v>
      </c>
      <c r="D6" s="6" t="str">
        <f>IFERROR(__xludf.DUMMYFUNCTION("""COMPUTED_VALUE"""),"Малообеспеченная")</f>
        <v>Малообеспеченная</v>
      </c>
      <c r="E6" s="6" t="str">
        <f>IFERROR(__xludf.DUMMYFUNCTION("""COMPUTED_VALUE"""),"Основная")</f>
        <v>Основная</v>
      </c>
      <c r="F6" s="6" t="str">
        <f>IFERROR(__xludf.DUMMYFUNCTION("""COMPUTED_VALUE"""),"Норма")</f>
        <v>Норма</v>
      </c>
      <c r="G6" s="6">
        <f>IFERROR(__xludf.DUMMYFUNCTION("""COMPUTED_VALUE"""),3.49)</f>
        <v>3.49</v>
      </c>
    </row>
    <row r="7">
      <c r="A7" s="6">
        <f>IFERROR(__xludf.DUMMYFUNCTION("""COMPUTED_VALUE"""),10.0)</f>
        <v>10</v>
      </c>
      <c r="B7" s="6" t="str">
        <f>IFERROR(__xludf.DUMMYFUNCTION("""COMPUTED_VALUE"""),"Попова Дарья")</f>
        <v>Попова Дарья</v>
      </c>
      <c r="C7" s="6" t="str">
        <f>IFERROR(__xludf.DUMMYFUNCTION("""COMPUTED_VALUE"""),"5А")</f>
        <v>5А</v>
      </c>
      <c r="D7" s="6" t="str">
        <f>IFERROR(__xludf.DUMMYFUNCTION("""COMPUTED_VALUE"""),"Многодетная")</f>
        <v>Многодетная</v>
      </c>
      <c r="E7" s="6" t="str">
        <f>IFERROR(__xludf.DUMMYFUNCTION("""COMPUTED_VALUE"""),"Спец. группа")</f>
        <v>Спец. группа</v>
      </c>
      <c r="F7" s="6" t="str">
        <f>IFERROR(__xludf.DUMMYFUNCTION("""COMPUTED_VALUE"""),"Норма")</f>
        <v>Норма</v>
      </c>
      <c r="G7" s="6">
        <f>IFERROR(__xludf.DUMMYFUNCTION("""COMPUTED_VALUE"""),2.71)</f>
        <v>2.71</v>
      </c>
    </row>
    <row r="8">
      <c r="A8" s="6">
        <f>IFERROR(__xludf.DUMMYFUNCTION("""COMPUTED_VALUE"""),14.0)</f>
        <v>14</v>
      </c>
      <c r="B8" s="6" t="str">
        <f>IFERROR(__xludf.DUMMYFUNCTION("""COMPUTED_VALUE"""),"Соколов Александр")</f>
        <v>Соколов Александр</v>
      </c>
      <c r="C8" s="6" t="str">
        <f>IFERROR(__xludf.DUMMYFUNCTION("""COMPUTED_VALUE"""),"5А")</f>
        <v>5А</v>
      </c>
      <c r="D8" s="6" t="str">
        <f>IFERROR(__xludf.DUMMYFUNCTION("""COMPUTED_VALUE"""),"Полная семья")</f>
        <v>Полная семья</v>
      </c>
      <c r="E8" s="6" t="str">
        <f>IFERROR(__xludf.DUMMYFUNCTION("""COMPUTED_VALUE"""),"Основная")</f>
        <v>Основная</v>
      </c>
      <c r="F8" s="6" t="str">
        <f>IFERROR(__xludf.DUMMYFUNCTION("""COMPUTED_VALUE"""),"Норма")</f>
        <v>Норма</v>
      </c>
      <c r="G8" s="6">
        <f>IFERROR(__xludf.DUMMYFUNCTION("""COMPUTED_VALUE"""),2.58)</f>
        <v>2.58</v>
      </c>
    </row>
    <row r="9">
      <c r="A9" s="6">
        <f>IFERROR(__xludf.DUMMYFUNCTION("""COMPUTED_VALUE"""),15.0)</f>
        <v>15</v>
      </c>
      <c r="B9" s="6" t="str">
        <f>IFERROR(__xludf.DUMMYFUNCTION("""COMPUTED_VALUE"""),"Соколов Максим")</f>
        <v>Соколов Максим</v>
      </c>
      <c r="C9" s="6" t="str">
        <f>IFERROR(__xludf.DUMMYFUNCTION("""COMPUTED_VALUE"""),"5А")</f>
        <v>5А</v>
      </c>
      <c r="D9" s="6" t="str">
        <f>IFERROR(__xludf.DUMMYFUNCTION("""COMPUTED_VALUE"""),"Многодетная")</f>
        <v>Многодетная</v>
      </c>
      <c r="E9" s="6" t="str">
        <f>IFERROR(__xludf.DUMMYFUNCTION("""COMPUTED_VALUE"""),"Подготовительная")</f>
        <v>Подготовительная</v>
      </c>
      <c r="F9" s="6" t="str">
        <f>IFERROR(__xludf.DUMMYFUNCTION("""COMPUTED_VALUE"""),"Норма")</f>
        <v>Норма</v>
      </c>
      <c r="G9" s="6">
        <f>IFERROR(__xludf.DUMMYFUNCTION("""COMPUTED_VALUE"""),2.53)</f>
        <v>2.53</v>
      </c>
    </row>
    <row r="10">
      <c r="A10" s="6">
        <f>IFERROR(__xludf.DUMMYFUNCTION("""COMPUTED_VALUE"""),18.0)</f>
        <v>18</v>
      </c>
      <c r="B10" s="6" t="str">
        <f>IFERROR(__xludf.DUMMYFUNCTION("""COMPUTED_VALUE"""),"Михайлова Дарья")</f>
        <v>Михайлова Дарья</v>
      </c>
      <c r="C10" s="6" t="str">
        <f>IFERROR(__xludf.DUMMYFUNCTION("""COMPUTED_VALUE"""),"5А")</f>
        <v>5А</v>
      </c>
      <c r="D10" s="6" t="str">
        <f>IFERROR(__xludf.DUMMYFUNCTION("""COMPUTED_VALUE"""),"Полная семья")</f>
        <v>Полная семья</v>
      </c>
      <c r="E10" s="6" t="str">
        <f>IFERROR(__xludf.DUMMYFUNCTION("""COMPUTED_VALUE"""),"Основная")</f>
        <v>Основная</v>
      </c>
      <c r="F10" s="6" t="str">
        <f>IFERROR(__xludf.DUMMYFUNCTION("""COMPUTED_VALUE"""),"Норма")</f>
        <v>Норма</v>
      </c>
      <c r="G10" s="6">
        <f>IFERROR(__xludf.DUMMYFUNCTION("""COMPUTED_VALUE"""),3.21)</f>
        <v>3.21</v>
      </c>
    </row>
    <row r="11">
      <c r="A11" s="6">
        <f>IFERROR(__xludf.DUMMYFUNCTION("""COMPUTED_VALUE"""),20.0)</f>
        <v>20</v>
      </c>
      <c r="B11" s="6" t="str">
        <f>IFERROR(__xludf.DUMMYFUNCTION("""COMPUTED_VALUE"""),"Смирнов Максим")</f>
        <v>Смирнов Максим</v>
      </c>
      <c r="C11" s="6" t="str">
        <f>IFERROR(__xludf.DUMMYFUNCTION("""COMPUTED_VALUE"""),"5А")</f>
        <v>5А</v>
      </c>
      <c r="D11" s="6" t="str">
        <f>IFERROR(__xludf.DUMMYFUNCTION("""COMPUTED_VALUE"""),"Полная семья")</f>
        <v>Полная семья</v>
      </c>
      <c r="E11" s="6" t="str">
        <f>IFERROR(__xludf.DUMMYFUNCTION("""COMPUTED_VALUE"""),"Основная")</f>
        <v>Основная</v>
      </c>
      <c r="F11" s="6" t="str">
        <f>IFERROR(__xludf.DUMMYFUNCTION("""COMPUTED_VALUE"""),"Норма")</f>
        <v>Норма</v>
      </c>
      <c r="G11" s="6">
        <f>IFERROR(__xludf.DUMMYFUNCTION("""COMPUTED_VALUE"""),2.63)</f>
        <v>2.63</v>
      </c>
    </row>
    <row r="12">
      <c r="A12" s="6">
        <f>IFERROR(__xludf.DUMMYFUNCTION("""COMPUTED_VALUE"""),22.0)</f>
        <v>22</v>
      </c>
      <c r="B12" s="6" t="str">
        <f>IFERROR(__xludf.DUMMYFUNCTION("""COMPUTED_VALUE"""),"Васильев Максим")</f>
        <v>Васильев Максим</v>
      </c>
      <c r="C12" s="6" t="str">
        <f>IFERROR(__xludf.DUMMYFUNCTION("""COMPUTED_VALUE"""),"5А")</f>
        <v>5А</v>
      </c>
      <c r="D12" s="6" t="str">
        <f>IFERROR(__xludf.DUMMYFUNCTION("""COMPUTED_VALUE"""),"Малообеспеченная")</f>
        <v>Малообеспеченная</v>
      </c>
      <c r="E12" s="6" t="str">
        <f>IFERROR(__xludf.DUMMYFUNCTION("""COMPUTED_VALUE"""),"Спец. группа")</f>
        <v>Спец. группа</v>
      </c>
      <c r="F12" s="6" t="str">
        <f>IFERROR(__xludf.DUMMYFUNCTION("""COMPUTED_VALUE"""),"Норма")</f>
        <v>Норма</v>
      </c>
      <c r="G12" s="6">
        <f>IFERROR(__xludf.DUMMYFUNCTION("""COMPUTED_VALUE"""),2.74)</f>
        <v>2.74</v>
      </c>
    </row>
    <row r="13">
      <c r="A13" s="6">
        <f>IFERROR(__xludf.DUMMYFUNCTION("""COMPUTED_VALUE"""),24.0)</f>
        <v>24</v>
      </c>
      <c r="B13" s="6" t="str">
        <f>IFERROR(__xludf.DUMMYFUNCTION("""COMPUTED_VALUE"""),"Петрова Елена")</f>
        <v>Петрова Елена</v>
      </c>
      <c r="C13" s="6" t="str">
        <f>IFERROR(__xludf.DUMMYFUNCTION("""COMPUTED_VALUE"""),"5А")</f>
        <v>5А</v>
      </c>
      <c r="D13" s="6" t="str">
        <f>IFERROR(__xludf.DUMMYFUNCTION("""COMPUTED_VALUE"""),"Полная семья")</f>
        <v>Полная семья</v>
      </c>
      <c r="E13" s="6" t="str">
        <f>IFERROR(__xludf.DUMMYFUNCTION("""COMPUTED_VALUE"""),"Спец. группа")</f>
        <v>Спец. группа</v>
      </c>
      <c r="F13" s="6" t="str">
        <f>IFERROR(__xludf.DUMMYFUNCTION("""COMPUTED_VALUE"""),"Норма")</f>
        <v>Норма</v>
      </c>
      <c r="G13" s="6">
        <f>IFERROR(__xludf.DUMMYFUNCTION("""COMPUTED_VALUE"""),3.43)</f>
        <v>3.43</v>
      </c>
    </row>
    <row r="14">
      <c r="A14" s="6">
        <f>IFERROR(__xludf.DUMMYFUNCTION("""COMPUTED_VALUE"""),27.0)</f>
        <v>27</v>
      </c>
      <c r="B14" s="6" t="str">
        <f>IFERROR(__xludf.DUMMYFUNCTION("""COMPUTED_VALUE"""),"Петров Александр")</f>
        <v>Петров Александр</v>
      </c>
      <c r="C14" s="6" t="str">
        <f>IFERROR(__xludf.DUMMYFUNCTION("""COMPUTED_VALUE"""),"5А")</f>
        <v>5А</v>
      </c>
      <c r="D14" s="6" t="str">
        <f>IFERROR(__xludf.DUMMYFUNCTION("""COMPUTED_VALUE"""),"Многодетная")</f>
        <v>Многодетная</v>
      </c>
      <c r="E14" s="6" t="str">
        <f>IFERROR(__xludf.DUMMYFUNCTION("""COMPUTED_VALUE"""),"Подготовительная")</f>
        <v>Подготовительная</v>
      </c>
      <c r="F14" s="6" t="str">
        <f>IFERROR(__xludf.DUMMYFUNCTION("""COMPUTED_VALUE"""),"Норма")</f>
        <v>Норма</v>
      </c>
      <c r="G14" s="6">
        <f>IFERROR(__xludf.DUMMYFUNCTION("""COMPUTED_VALUE"""),3.04)</f>
        <v>3.04</v>
      </c>
    </row>
    <row r="15">
      <c r="A15" s="6">
        <f>IFERROR(__xludf.DUMMYFUNCTION("""COMPUTED_VALUE"""),29.0)</f>
        <v>29</v>
      </c>
      <c r="B15" s="6" t="str">
        <f>IFERROR(__xludf.DUMMYFUNCTION("""COMPUTED_VALUE"""),"Смирнова Мария")</f>
        <v>Смирнова Мария</v>
      </c>
      <c r="C15" s="6" t="str">
        <f>IFERROR(__xludf.DUMMYFUNCTION("""COMPUTED_VALUE"""),"5А")</f>
        <v>5А</v>
      </c>
      <c r="D15" s="6" t="str">
        <f>IFERROR(__xludf.DUMMYFUNCTION("""COMPUTED_VALUE"""),"Неполная")</f>
        <v>Неполная</v>
      </c>
      <c r="E15" s="6" t="str">
        <f>IFERROR(__xludf.DUMMYFUNCTION("""COMPUTED_VALUE"""),"Подготовительная")</f>
        <v>Подготовительная</v>
      </c>
      <c r="F15" s="6" t="str">
        <f>IFERROR(__xludf.DUMMYFUNCTION("""COMPUTED_VALUE"""),"Группа риска")</f>
        <v>Группа риска</v>
      </c>
      <c r="G15" s="6">
        <f>IFERROR(__xludf.DUMMYFUNCTION("""COMPUTED_VALUE"""),2.79)</f>
        <v>2.79</v>
      </c>
    </row>
    <row r="16">
      <c r="A16" s="6">
        <f>IFERROR(__xludf.DUMMYFUNCTION("""COMPUTED_VALUE"""),30.0)</f>
        <v>30</v>
      </c>
      <c r="B16" s="6" t="str">
        <f>IFERROR(__xludf.DUMMYFUNCTION("""COMPUTED_VALUE"""),"Кузнецов Сергей")</f>
        <v>Кузнецов Сергей</v>
      </c>
      <c r="C16" s="6" t="str">
        <f>IFERROR(__xludf.DUMMYFUNCTION("""COMPUTED_VALUE"""),"5А")</f>
        <v>5А</v>
      </c>
      <c r="D16" s="6" t="str">
        <f>IFERROR(__xludf.DUMMYFUNCTION("""COMPUTED_VALUE"""),"Многодетная")</f>
        <v>Многодетная</v>
      </c>
      <c r="E16" s="6" t="str">
        <f>IFERROR(__xludf.DUMMYFUNCTION("""COMPUTED_VALUE"""),"Спец. группа")</f>
        <v>Спец. группа</v>
      </c>
      <c r="F16" s="6" t="str">
        <f>IFERROR(__xludf.DUMMYFUNCTION("""COMPUTED_VALUE"""),"Норма")</f>
        <v>Норма</v>
      </c>
      <c r="G16" s="6">
        <f>IFERROR(__xludf.DUMMYFUNCTION("""COMPUTED_VALUE"""),3.0)</f>
        <v>3</v>
      </c>
    </row>
    <row r="17">
      <c r="A17" s="6"/>
      <c r="B17" s="6"/>
      <c r="C17" s="6"/>
      <c r="D17" s="6"/>
      <c r="E17" s="6"/>
      <c r="F17" s="6"/>
      <c r="G17" s="6"/>
    </row>
    <row r="18">
      <c r="A18" s="6"/>
      <c r="B18" s="6"/>
      <c r="C18" s="6"/>
      <c r="D18" s="6"/>
      <c r="E18" s="6"/>
      <c r="F18" s="6"/>
      <c r="G18" s="6"/>
    </row>
    <row r="19">
      <c r="A19" s="6"/>
      <c r="B19" s="6"/>
      <c r="C19" s="6"/>
      <c r="D19" s="6"/>
      <c r="E19" s="6"/>
      <c r="F19" s="6"/>
      <c r="G19" s="6"/>
    </row>
    <row r="20">
      <c r="A20" s="6"/>
      <c r="B20" s="6"/>
      <c r="C20" s="6"/>
      <c r="D20" s="6"/>
      <c r="E20" s="6"/>
      <c r="F20" s="6"/>
      <c r="G20" s="6"/>
    </row>
    <row r="21" ht="15.75" customHeight="1">
      <c r="A21" s="6"/>
      <c r="B21" s="6"/>
      <c r="C21" s="6"/>
      <c r="D21" s="6"/>
      <c r="E21" s="6"/>
      <c r="F21" s="6"/>
      <c r="G21" s="6"/>
    </row>
    <row r="22" ht="15.75" customHeight="1">
      <c r="A22" s="6"/>
      <c r="B22" s="6"/>
      <c r="C22" s="6"/>
      <c r="D22" s="6"/>
      <c r="E22" s="6"/>
      <c r="F22" s="6"/>
      <c r="G22" s="6"/>
    </row>
    <row r="23" ht="15.75" customHeight="1">
      <c r="A23" s="6"/>
      <c r="B23" s="6"/>
      <c r="C23" s="6"/>
      <c r="D23" s="6"/>
      <c r="E23" s="6"/>
      <c r="F23" s="6"/>
      <c r="G23" s="6"/>
    </row>
    <row r="24" ht="15.75" customHeight="1">
      <c r="A24" s="6"/>
      <c r="B24" s="6"/>
      <c r="C24" s="6"/>
      <c r="D24" s="6"/>
      <c r="E24" s="6"/>
      <c r="F24" s="6"/>
      <c r="G24" s="6"/>
    </row>
    <row r="25" ht="15.75" customHeight="1">
      <c r="A25" s="6"/>
      <c r="B25" s="6"/>
      <c r="C25" s="6"/>
      <c r="D25" s="6"/>
      <c r="E25" s="6"/>
      <c r="F25" s="6"/>
      <c r="G25" s="6"/>
    </row>
    <row r="26" ht="15.75" customHeight="1">
      <c r="A26" s="6"/>
      <c r="B26" s="6"/>
      <c r="C26" s="6"/>
      <c r="D26" s="6"/>
      <c r="E26" s="6"/>
      <c r="F26" s="6"/>
      <c r="G26" s="6"/>
    </row>
    <row r="27" ht="15.75" customHeight="1">
      <c r="A27" s="6"/>
      <c r="B27" s="6"/>
      <c r="C27" s="6"/>
      <c r="D27" s="6"/>
      <c r="E27" s="6"/>
      <c r="F27" s="6"/>
      <c r="G27" s="6"/>
    </row>
    <row r="28" ht="15.75" customHeight="1">
      <c r="A28" s="6"/>
      <c r="B28" s="6"/>
      <c r="C28" s="6"/>
      <c r="D28" s="6"/>
      <c r="E28" s="6"/>
      <c r="F28" s="6"/>
      <c r="G28" s="6"/>
    </row>
    <row r="29" ht="15.75" customHeight="1">
      <c r="A29" s="6"/>
      <c r="B29" s="6"/>
      <c r="C29" s="6"/>
      <c r="D29" s="6"/>
      <c r="E29" s="6"/>
      <c r="F29" s="6"/>
      <c r="G29" s="6"/>
    </row>
    <row r="30" ht="15.75" customHeight="1">
      <c r="A30" s="6"/>
      <c r="B30" s="6"/>
      <c r="C30" s="6"/>
      <c r="D30" s="6"/>
      <c r="E30" s="6"/>
      <c r="F30" s="6"/>
      <c r="G30" s="6"/>
    </row>
    <row r="31" ht="15.75" customHeight="1">
      <c r="A31" s="6"/>
      <c r="B31" s="6"/>
      <c r="C31" s="6"/>
      <c r="D31" s="6"/>
      <c r="E31" s="6"/>
      <c r="F31" s="6"/>
      <c r="G31" s="6"/>
    </row>
    <row r="32" ht="15.75" customHeight="1">
      <c r="A32" s="6"/>
      <c r="B32" s="6"/>
      <c r="C32" s="6"/>
      <c r="D32" s="6"/>
      <c r="E32" s="6"/>
      <c r="F32" s="6"/>
      <c r="G32" s="6"/>
    </row>
    <row r="33" ht="15.75" customHeight="1">
      <c r="A33" s="6"/>
      <c r="B33" s="6"/>
      <c r="C33" s="6"/>
      <c r="D33" s="6"/>
      <c r="E33" s="6"/>
      <c r="F33" s="6"/>
      <c r="G33" s="6"/>
    </row>
    <row r="34" ht="15.75" customHeight="1">
      <c r="A34" s="6"/>
      <c r="B34" s="6"/>
      <c r="C34" s="6"/>
      <c r="D34" s="6"/>
      <c r="E34" s="6"/>
      <c r="F34" s="6"/>
      <c r="G34" s="6"/>
    </row>
    <row r="35" ht="15.75" customHeight="1">
      <c r="A35" s="6"/>
      <c r="B35" s="6"/>
      <c r="C35" s="6"/>
      <c r="D35" s="6"/>
      <c r="E35" s="6"/>
      <c r="F35" s="6"/>
      <c r="G35" s="6"/>
    </row>
    <row r="36" ht="15.75" customHeight="1">
      <c r="A36" s="6"/>
      <c r="B36" s="6"/>
      <c r="C36" s="6"/>
      <c r="D36" s="6"/>
      <c r="E36" s="6"/>
      <c r="F36" s="6"/>
      <c r="G36" s="6"/>
    </row>
    <row r="37" ht="15.75" customHeight="1">
      <c r="A37" s="6"/>
      <c r="B37" s="6"/>
      <c r="C37" s="6"/>
      <c r="D37" s="6"/>
      <c r="E37" s="6"/>
      <c r="F37" s="6"/>
      <c r="G37" s="6"/>
    </row>
    <row r="38" ht="15.75" customHeight="1">
      <c r="A38" s="6"/>
      <c r="B38" s="6"/>
      <c r="C38" s="6"/>
      <c r="D38" s="6"/>
      <c r="E38" s="6"/>
      <c r="F38" s="6"/>
      <c r="G38" s="6"/>
    </row>
    <row r="39" ht="15.75" customHeight="1">
      <c r="A39" s="6"/>
      <c r="B39" s="6"/>
      <c r="C39" s="6"/>
      <c r="D39" s="6"/>
      <c r="E39" s="6"/>
      <c r="F39" s="6"/>
      <c r="G39" s="6"/>
    </row>
    <row r="40" ht="15.75" customHeight="1">
      <c r="A40" s="6"/>
      <c r="B40" s="6"/>
      <c r="C40" s="6"/>
      <c r="D40" s="6"/>
      <c r="E40" s="6"/>
      <c r="F40" s="6"/>
      <c r="G40" s="6"/>
    </row>
    <row r="41" ht="15.75" customHeight="1">
      <c r="A41" s="6"/>
      <c r="B41" s="6"/>
      <c r="C41" s="6"/>
      <c r="D41" s="6"/>
      <c r="E41" s="6"/>
      <c r="F41" s="6"/>
      <c r="G41" s="6"/>
    </row>
    <row r="42" ht="15.75" customHeight="1">
      <c r="A42" s="6"/>
      <c r="B42" s="6"/>
      <c r="C42" s="6"/>
      <c r="D42" s="6"/>
      <c r="E42" s="6"/>
      <c r="F42" s="6"/>
      <c r="G42" s="6"/>
    </row>
    <row r="43" ht="15.75" customHeight="1">
      <c r="A43" s="6"/>
      <c r="B43" s="6"/>
      <c r="C43" s="6"/>
      <c r="D43" s="6"/>
      <c r="E43" s="6"/>
      <c r="F43" s="6"/>
      <c r="G43" s="6"/>
    </row>
    <row r="44" ht="15.75" customHeight="1">
      <c r="A44" s="6"/>
      <c r="B44" s="6"/>
      <c r="C44" s="6"/>
      <c r="D44" s="6"/>
      <c r="E44" s="6"/>
      <c r="F44" s="6"/>
      <c r="G44" s="6"/>
    </row>
    <row r="45" ht="15.75" customHeight="1">
      <c r="A45" s="6"/>
      <c r="B45" s="6"/>
      <c r="C45" s="6"/>
      <c r="D45" s="6"/>
      <c r="E45" s="6"/>
      <c r="F45" s="6"/>
      <c r="G45" s="6"/>
    </row>
    <row r="46" ht="15.75" customHeight="1">
      <c r="A46" s="6"/>
      <c r="B46" s="6"/>
      <c r="C46" s="6"/>
      <c r="D46" s="6"/>
      <c r="E46" s="6"/>
      <c r="F46" s="6"/>
      <c r="G46" s="6"/>
    </row>
    <row r="47" ht="15.75" customHeight="1">
      <c r="A47" s="6"/>
      <c r="B47" s="6"/>
      <c r="C47" s="6"/>
      <c r="D47" s="6"/>
      <c r="E47" s="6"/>
      <c r="F47" s="6"/>
      <c r="G47" s="6"/>
    </row>
    <row r="48" ht="15.75" customHeight="1">
      <c r="A48" s="6"/>
      <c r="B48" s="6"/>
      <c r="C48" s="6"/>
      <c r="D48" s="6"/>
      <c r="E48" s="6"/>
      <c r="F48" s="6"/>
      <c r="G48" s="6"/>
    </row>
    <row r="49" ht="15.75" customHeight="1">
      <c r="A49" s="6"/>
      <c r="B49" s="6"/>
      <c r="C49" s="6"/>
      <c r="D49" s="6"/>
      <c r="E49" s="6"/>
      <c r="F49" s="6"/>
      <c r="G49" s="6"/>
    </row>
    <row r="50" ht="15.75" customHeight="1">
      <c r="A50" s="6"/>
      <c r="B50" s="6"/>
      <c r="C50" s="6"/>
      <c r="D50" s="6"/>
      <c r="E50" s="6"/>
      <c r="F50" s="6"/>
      <c r="G50" s="6"/>
    </row>
    <row r="51" ht="15.75" customHeight="1">
      <c r="A51" s="6"/>
      <c r="B51" s="6"/>
      <c r="C51" s="6"/>
      <c r="D51" s="6"/>
      <c r="E51" s="6"/>
      <c r="F51" s="6"/>
      <c r="G51" s="6"/>
    </row>
    <row r="52" ht="15.75" customHeight="1">
      <c r="A52" s="6"/>
      <c r="B52" s="6"/>
      <c r="C52" s="6"/>
      <c r="D52" s="6"/>
      <c r="E52" s="6"/>
      <c r="F52" s="6"/>
      <c r="G52" s="6"/>
    </row>
    <row r="53" ht="15.75" customHeight="1">
      <c r="A53" s="6"/>
      <c r="B53" s="6"/>
      <c r="C53" s="6"/>
      <c r="D53" s="6"/>
      <c r="E53" s="6"/>
      <c r="F53" s="6"/>
      <c r="G53" s="6"/>
    </row>
    <row r="54" ht="15.75" customHeight="1">
      <c r="A54" s="6"/>
      <c r="B54" s="6"/>
      <c r="C54" s="6"/>
      <c r="D54" s="6"/>
      <c r="E54" s="6"/>
      <c r="F54" s="6"/>
      <c r="G54" s="6"/>
    </row>
    <row r="55" ht="15.75" customHeight="1">
      <c r="A55" s="6"/>
      <c r="B55" s="6"/>
      <c r="C55" s="6"/>
      <c r="D55" s="6"/>
      <c r="E55" s="6"/>
      <c r="F55" s="6"/>
      <c r="G55" s="6"/>
    </row>
    <row r="56" ht="15.75" customHeight="1">
      <c r="A56" s="6"/>
      <c r="B56" s="6"/>
      <c r="C56" s="6"/>
      <c r="D56" s="6"/>
      <c r="E56" s="6"/>
      <c r="F56" s="6"/>
      <c r="G56" s="6"/>
    </row>
    <row r="57" ht="15.75" customHeight="1">
      <c r="A57" s="6"/>
      <c r="B57" s="6"/>
      <c r="C57" s="6"/>
      <c r="D57" s="6"/>
      <c r="E57" s="6"/>
      <c r="F57" s="6"/>
      <c r="G57" s="6"/>
    </row>
    <row r="58" ht="15.75" customHeight="1">
      <c r="A58" s="6"/>
      <c r="B58" s="6"/>
      <c r="C58" s="6"/>
      <c r="D58" s="6"/>
      <c r="E58" s="6"/>
      <c r="F58" s="6"/>
      <c r="G58" s="6"/>
    </row>
    <row r="59" ht="15.75" customHeight="1">
      <c r="A59" s="6"/>
      <c r="B59" s="6"/>
      <c r="C59" s="6"/>
      <c r="D59" s="6"/>
      <c r="E59" s="6"/>
      <c r="F59" s="6"/>
      <c r="G59" s="6"/>
    </row>
    <row r="60" ht="15.75" customHeight="1">
      <c r="A60" s="6"/>
      <c r="B60" s="6"/>
      <c r="C60" s="6"/>
      <c r="D60" s="6"/>
      <c r="E60" s="6"/>
      <c r="F60" s="6"/>
      <c r="G60" s="6"/>
    </row>
    <row r="61" ht="15.75" customHeight="1">
      <c r="A61" s="6"/>
      <c r="B61" s="6"/>
      <c r="C61" s="6"/>
      <c r="D61" s="6"/>
      <c r="E61" s="6"/>
      <c r="F61" s="6"/>
      <c r="G61" s="6"/>
    </row>
    <row r="62" ht="15.75" customHeight="1">
      <c r="A62" s="6"/>
      <c r="B62" s="6"/>
      <c r="C62" s="6"/>
      <c r="D62" s="6"/>
      <c r="E62" s="6"/>
      <c r="F62" s="6"/>
      <c r="G62" s="6"/>
    </row>
    <row r="63" ht="15.75" customHeight="1">
      <c r="A63" s="6"/>
      <c r="B63" s="6"/>
      <c r="C63" s="6"/>
      <c r="D63" s="6"/>
      <c r="E63" s="6"/>
      <c r="F63" s="6"/>
      <c r="G63" s="6"/>
    </row>
    <row r="64" ht="15.75" customHeight="1">
      <c r="A64" s="6"/>
      <c r="B64" s="6"/>
      <c r="C64" s="6"/>
      <c r="D64" s="6"/>
      <c r="E64" s="6"/>
      <c r="F64" s="6"/>
      <c r="G64" s="6"/>
    </row>
    <row r="65" ht="15.75" customHeight="1">
      <c r="A65" s="6"/>
      <c r="B65" s="6"/>
      <c r="C65" s="6"/>
      <c r="D65" s="6"/>
      <c r="E65" s="6"/>
      <c r="F65" s="6"/>
      <c r="G65" s="6"/>
    </row>
    <row r="66" ht="15.75" customHeight="1">
      <c r="A66" s="6"/>
      <c r="B66" s="6"/>
      <c r="C66" s="6"/>
      <c r="D66" s="6"/>
      <c r="E66" s="6"/>
      <c r="F66" s="6"/>
      <c r="G66" s="6"/>
    </row>
    <row r="67" ht="15.75" customHeight="1">
      <c r="A67" s="6"/>
      <c r="B67" s="6"/>
      <c r="C67" s="6"/>
      <c r="D67" s="6"/>
      <c r="E67" s="6"/>
      <c r="F67" s="6"/>
      <c r="G67" s="6"/>
    </row>
    <row r="68" ht="15.75" customHeight="1">
      <c r="A68" s="6"/>
      <c r="B68" s="6"/>
      <c r="C68" s="6"/>
      <c r="D68" s="6"/>
      <c r="E68" s="6"/>
      <c r="F68" s="6"/>
      <c r="G68" s="6"/>
    </row>
    <row r="69" ht="15.75" customHeight="1">
      <c r="A69" s="6"/>
      <c r="B69" s="6"/>
      <c r="C69" s="6"/>
      <c r="D69" s="6"/>
      <c r="E69" s="6"/>
      <c r="F69" s="6"/>
      <c r="G69" s="6"/>
    </row>
    <row r="70" ht="15.75" customHeight="1">
      <c r="A70" s="6"/>
      <c r="B70" s="6"/>
      <c r="C70" s="6"/>
      <c r="D70" s="6"/>
      <c r="E70" s="6"/>
      <c r="F70" s="6"/>
      <c r="G70" s="6"/>
    </row>
    <row r="71" ht="15.75" customHeight="1">
      <c r="A71" s="6"/>
      <c r="B71" s="6"/>
      <c r="C71" s="6"/>
      <c r="D71" s="6"/>
      <c r="E71" s="6"/>
      <c r="F71" s="6"/>
      <c r="G71" s="6"/>
    </row>
    <row r="72" ht="15.75" customHeight="1">
      <c r="A72" s="6"/>
      <c r="B72" s="6"/>
      <c r="C72" s="6"/>
      <c r="D72" s="6"/>
      <c r="E72" s="6"/>
      <c r="F72" s="6"/>
      <c r="G72" s="6"/>
    </row>
    <row r="73" ht="15.75" customHeight="1">
      <c r="A73" s="6"/>
      <c r="B73" s="6"/>
      <c r="C73" s="6"/>
      <c r="D73" s="6"/>
      <c r="E73" s="6"/>
      <c r="F73" s="6"/>
      <c r="G73" s="6"/>
    </row>
    <row r="74" ht="15.75" customHeight="1">
      <c r="A74" s="6"/>
      <c r="B74" s="6"/>
      <c r="C74" s="6"/>
      <c r="D74" s="6"/>
      <c r="E74" s="6"/>
      <c r="F74" s="6"/>
      <c r="G74" s="6"/>
    </row>
    <row r="75" ht="15.75" customHeight="1">
      <c r="A75" s="6"/>
      <c r="B75" s="6"/>
      <c r="C75" s="6"/>
      <c r="D75" s="6"/>
      <c r="E75" s="6"/>
      <c r="F75" s="6"/>
      <c r="G75" s="6"/>
    </row>
    <row r="76" ht="15.75" customHeight="1">
      <c r="A76" s="6"/>
      <c r="B76" s="6"/>
      <c r="C76" s="6"/>
      <c r="D76" s="6"/>
      <c r="E76" s="6"/>
      <c r="F76" s="6"/>
      <c r="G76" s="6"/>
    </row>
    <row r="77" ht="15.75" customHeight="1">
      <c r="A77" s="6"/>
      <c r="B77" s="6"/>
      <c r="C77" s="6"/>
      <c r="D77" s="6"/>
      <c r="E77" s="6"/>
      <c r="F77" s="6"/>
      <c r="G77" s="6"/>
    </row>
    <row r="78" ht="15.75" customHeight="1">
      <c r="A78" s="6"/>
      <c r="B78" s="6"/>
      <c r="C78" s="6"/>
      <c r="D78" s="6"/>
      <c r="E78" s="6"/>
      <c r="F78" s="6"/>
      <c r="G78" s="6"/>
    </row>
    <row r="79" ht="15.75" customHeight="1">
      <c r="A79" s="6"/>
      <c r="B79" s="6"/>
      <c r="C79" s="6"/>
      <c r="D79" s="6"/>
      <c r="E79" s="6"/>
      <c r="F79" s="6"/>
      <c r="G79" s="6"/>
    </row>
    <row r="80" ht="15.75" customHeight="1">
      <c r="A80" s="6"/>
      <c r="B80" s="6"/>
      <c r="C80" s="6"/>
      <c r="D80" s="6"/>
      <c r="E80" s="6"/>
      <c r="F80" s="6"/>
      <c r="G80" s="6"/>
    </row>
    <row r="81" ht="15.75" customHeight="1">
      <c r="A81" s="6"/>
      <c r="B81" s="6"/>
      <c r="C81" s="6"/>
      <c r="D81" s="6"/>
      <c r="E81" s="6"/>
      <c r="F81" s="6"/>
      <c r="G81" s="6"/>
    </row>
    <row r="82" ht="15.75" customHeight="1">
      <c r="A82" s="6"/>
      <c r="B82" s="6"/>
      <c r="C82" s="6"/>
      <c r="D82" s="6"/>
      <c r="E82" s="6"/>
      <c r="F82" s="6"/>
      <c r="G82" s="6"/>
    </row>
    <row r="83" ht="15.75" customHeight="1">
      <c r="A83" s="6"/>
      <c r="B83" s="6"/>
      <c r="C83" s="6"/>
      <c r="D83" s="6"/>
      <c r="E83" s="6"/>
      <c r="F83" s="6"/>
      <c r="G83" s="6"/>
    </row>
    <row r="84" ht="15.75" customHeight="1">
      <c r="A84" s="6"/>
      <c r="B84" s="6"/>
      <c r="C84" s="6"/>
      <c r="D84" s="6"/>
      <c r="E84" s="6"/>
      <c r="F84" s="6"/>
      <c r="G84" s="6"/>
    </row>
    <row r="85" ht="15.75" customHeight="1">
      <c r="A85" s="6"/>
      <c r="B85" s="6"/>
      <c r="C85" s="6"/>
      <c r="D85" s="6"/>
      <c r="E85" s="6"/>
      <c r="F85" s="6"/>
      <c r="G85" s="6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71"/>
    <col customWidth="1" min="8" max="26" width="8.71"/>
  </cols>
  <sheetData>
    <row r="1">
      <c r="A1" s="4" t="s">
        <v>42</v>
      </c>
    </row>
    <row r="2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</row>
    <row r="3">
      <c r="A3" s="2">
        <f>IFERROR(__xludf.DUMMYFUNCTION("FILTER('БАЗА'!A2:G100, 'БАЗА'!F2:F100 &lt;&gt; ""Норма"")"),2.0)</f>
        <v>2</v>
      </c>
      <c r="B3" s="6" t="str">
        <f>IFERROR(__xludf.DUMMYFUNCTION("""COMPUTED_VALUE"""),"Смирнов Александр")</f>
        <v>Смирнов Александр</v>
      </c>
      <c r="C3" s="6" t="str">
        <f>IFERROR(__xludf.DUMMYFUNCTION("""COMPUTED_VALUE"""),"5А")</f>
        <v>5А</v>
      </c>
      <c r="D3" s="6" t="str">
        <f>IFERROR(__xludf.DUMMYFUNCTION("""COMPUTED_VALUE"""),"Неполная")</f>
        <v>Неполная</v>
      </c>
      <c r="E3" s="6" t="str">
        <f>IFERROR(__xludf.DUMMYFUNCTION("""COMPUTED_VALUE"""),"Спец. группа")</f>
        <v>Спец. группа</v>
      </c>
      <c r="F3" s="6" t="str">
        <f>IFERROR(__xludf.DUMMYFUNCTION("""COMPUTED_VALUE"""),"Группа риска")</f>
        <v>Группа риска</v>
      </c>
      <c r="G3" s="6">
        <f>IFERROR(__xludf.DUMMYFUNCTION("""COMPUTED_VALUE"""),3.7)</f>
        <v>3.7</v>
      </c>
    </row>
    <row r="4">
      <c r="A4" s="6">
        <f>IFERROR(__xludf.DUMMYFUNCTION("""COMPUTED_VALUE"""),3.0)</f>
        <v>3</v>
      </c>
      <c r="B4" s="6" t="str">
        <f>IFERROR(__xludf.DUMMYFUNCTION("""COMPUTED_VALUE"""),"Попов Сергей")</f>
        <v>Попов Сергей</v>
      </c>
      <c r="C4" s="6" t="str">
        <f>IFERROR(__xludf.DUMMYFUNCTION("""COMPUTED_VALUE"""),"5А")</f>
        <v>5А</v>
      </c>
      <c r="D4" s="6" t="str">
        <f>IFERROR(__xludf.DUMMYFUNCTION("""COMPUTED_VALUE"""),"Малообеспеченная")</f>
        <v>Малообеспеченная</v>
      </c>
      <c r="E4" s="6" t="str">
        <f>IFERROR(__xludf.DUMMYFUNCTION("""COMPUTED_VALUE"""),"Подготовительная")</f>
        <v>Подготовительная</v>
      </c>
      <c r="F4" s="6" t="str">
        <f>IFERROR(__xludf.DUMMYFUNCTION("""COMPUTED_VALUE"""),"Группа риска")</f>
        <v>Группа риска</v>
      </c>
      <c r="G4" s="6">
        <f>IFERROR(__xludf.DUMMYFUNCTION("""COMPUTED_VALUE"""),3.29)</f>
        <v>3.29</v>
      </c>
    </row>
    <row r="5">
      <c r="A5" s="6">
        <f>IFERROR(__xludf.DUMMYFUNCTION("""COMPUTED_VALUE"""),5.0)</f>
        <v>5</v>
      </c>
      <c r="B5" s="6" t="str">
        <f>IFERROR(__xludf.DUMMYFUNCTION("""COMPUTED_VALUE"""),"Кузнецов Сергей")</f>
        <v>Кузнецов Сергей</v>
      </c>
      <c r="C5" s="6" t="str">
        <f>IFERROR(__xludf.DUMMYFUNCTION("""COMPUTED_VALUE"""),"5А")</f>
        <v>5А</v>
      </c>
      <c r="D5" s="6" t="str">
        <f>IFERROR(__xludf.DUMMYFUNCTION("""COMPUTED_VALUE"""),"Многодетная")</f>
        <v>Многодетная</v>
      </c>
      <c r="E5" s="6" t="str">
        <f>IFERROR(__xludf.DUMMYFUNCTION("""COMPUTED_VALUE"""),"Подготовительная")</f>
        <v>Подготовительная</v>
      </c>
      <c r="F5" s="6" t="str">
        <f>IFERROR(__xludf.DUMMYFUNCTION("""COMPUTED_VALUE"""),"Группа риска")</f>
        <v>Группа риска</v>
      </c>
      <c r="G5" s="6">
        <f>IFERROR(__xludf.DUMMYFUNCTION("""COMPUTED_VALUE"""),3.97)</f>
        <v>3.97</v>
      </c>
    </row>
    <row r="6">
      <c r="A6" s="6">
        <f>IFERROR(__xludf.DUMMYFUNCTION("""COMPUTED_VALUE"""),9.0)</f>
        <v>9</v>
      </c>
      <c r="B6" s="6" t="str">
        <f>IFERROR(__xludf.DUMMYFUNCTION("""COMPUTED_VALUE"""),"Петров Максим")</f>
        <v>Петров Максим</v>
      </c>
      <c r="C6" s="6" t="str">
        <f>IFERROR(__xludf.DUMMYFUNCTION("""COMPUTED_VALUE"""),"5А")</f>
        <v>5А</v>
      </c>
      <c r="D6" s="6" t="str">
        <f>IFERROR(__xludf.DUMMYFUNCTION("""COMPUTED_VALUE"""),"Многодетная")</f>
        <v>Многодетная</v>
      </c>
      <c r="E6" s="6" t="str">
        <f>IFERROR(__xludf.DUMMYFUNCTION("""COMPUTED_VALUE"""),"Подготовительная")</f>
        <v>Подготовительная</v>
      </c>
      <c r="F6" s="6" t="str">
        <f>IFERROR(__xludf.DUMMYFUNCTION("""COMPUTED_VALUE"""),"Группа риска")</f>
        <v>Группа риска</v>
      </c>
      <c r="G6" s="6">
        <f>IFERROR(__xludf.DUMMYFUNCTION("""COMPUTED_VALUE"""),4.08)</f>
        <v>4.08</v>
      </c>
    </row>
    <row r="7">
      <c r="A7" s="6">
        <f>IFERROR(__xludf.DUMMYFUNCTION("""COMPUTED_VALUE"""),13.0)</f>
        <v>13</v>
      </c>
      <c r="B7" s="6" t="str">
        <f>IFERROR(__xludf.DUMMYFUNCTION("""COMPUTED_VALUE"""),"Соколов Максим")</f>
        <v>Соколов Максим</v>
      </c>
      <c r="C7" s="6" t="str">
        <f>IFERROR(__xludf.DUMMYFUNCTION("""COMPUTED_VALUE"""),"5А")</f>
        <v>5А</v>
      </c>
      <c r="D7" s="6" t="str">
        <f>IFERROR(__xludf.DUMMYFUNCTION("""COMPUTED_VALUE"""),"Неполная")</f>
        <v>Неполная</v>
      </c>
      <c r="E7" s="6" t="str">
        <f>IFERROR(__xludf.DUMMYFUNCTION("""COMPUTED_VALUE"""),"Спец. группа")</f>
        <v>Спец. группа</v>
      </c>
      <c r="F7" s="6" t="str">
        <f>IFERROR(__xludf.DUMMYFUNCTION("""COMPUTED_VALUE"""),"Группа риска")</f>
        <v>Группа риска</v>
      </c>
      <c r="G7" s="6">
        <f>IFERROR(__xludf.DUMMYFUNCTION("""COMPUTED_VALUE"""),4.32)</f>
        <v>4.32</v>
      </c>
    </row>
    <row r="8">
      <c r="A8" s="6">
        <f>IFERROR(__xludf.DUMMYFUNCTION("""COMPUTED_VALUE"""),29.0)</f>
        <v>29</v>
      </c>
      <c r="B8" s="6" t="str">
        <f>IFERROR(__xludf.DUMMYFUNCTION("""COMPUTED_VALUE"""),"Смирнова Мария")</f>
        <v>Смирнова Мария</v>
      </c>
      <c r="C8" s="6" t="str">
        <f>IFERROR(__xludf.DUMMYFUNCTION("""COMPUTED_VALUE"""),"5А")</f>
        <v>5А</v>
      </c>
      <c r="D8" s="6" t="str">
        <f>IFERROR(__xludf.DUMMYFUNCTION("""COMPUTED_VALUE"""),"Неполная")</f>
        <v>Неполная</v>
      </c>
      <c r="E8" s="6" t="str">
        <f>IFERROR(__xludf.DUMMYFUNCTION("""COMPUTED_VALUE"""),"Подготовительная")</f>
        <v>Подготовительная</v>
      </c>
      <c r="F8" s="6" t="str">
        <f>IFERROR(__xludf.DUMMYFUNCTION("""COMPUTED_VALUE"""),"Группа риска")</f>
        <v>Группа риска</v>
      </c>
      <c r="G8" s="6">
        <f>IFERROR(__xludf.DUMMYFUNCTION("""COMPUTED_VALUE"""),2.79)</f>
        <v>2.79</v>
      </c>
    </row>
    <row r="9">
      <c r="A9" s="6"/>
      <c r="B9" s="6"/>
      <c r="C9" s="6"/>
      <c r="D9" s="6"/>
      <c r="E9" s="6"/>
      <c r="F9" s="6"/>
      <c r="G9" s="6"/>
    </row>
    <row r="10">
      <c r="A10" s="6"/>
      <c r="B10" s="6"/>
      <c r="C10" s="6"/>
      <c r="D10" s="6"/>
      <c r="E10" s="6"/>
      <c r="F10" s="6"/>
      <c r="G10" s="6"/>
    </row>
    <row r="11">
      <c r="A11" s="6"/>
      <c r="B11" s="6"/>
      <c r="C11" s="6"/>
      <c r="D11" s="6"/>
      <c r="E11" s="6"/>
      <c r="F11" s="6"/>
      <c r="G11" s="6"/>
    </row>
    <row r="12">
      <c r="A12" s="6"/>
      <c r="B12" s="6"/>
      <c r="C12" s="6"/>
      <c r="D12" s="6"/>
      <c r="E12" s="6"/>
      <c r="F12" s="6"/>
      <c r="G12" s="6"/>
    </row>
    <row r="13">
      <c r="A13" s="6"/>
      <c r="B13" s="6"/>
      <c r="C13" s="6"/>
      <c r="D13" s="6"/>
      <c r="E13" s="6"/>
      <c r="F13" s="6"/>
      <c r="G13" s="6"/>
    </row>
    <row r="14">
      <c r="A14" s="6"/>
      <c r="B14" s="6"/>
      <c r="C14" s="6"/>
      <c r="D14" s="6"/>
      <c r="E14" s="6"/>
      <c r="F14" s="6"/>
      <c r="G14" s="6"/>
    </row>
    <row r="15">
      <c r="A15" s="6"/>
      <c r="B15" s="6"/>
      <c r="C15" s="6"/>
      <c r="D15" s="6"/>
      <c r="E15" s="6"/>
      <c r="F15" s="6"/>
      <c r="G15" s="6"/>
    </row>
    <row r="16">
      <c r="A16" s="6"/>
      <c r="B16" s="6"/>
      <c r="C16" s="6"/>
      <c r="D16" s="6"/>
      <c r="E16" s="6"/>
      <c r="F16" s="6"/>
      <c r="G16" s="6"/>
    </row>
    <row r="17">
      <c r="A17" s="6"/>
      <c r="B17" s="6"/>
      <c r="C17" s="6"/>
      <c r="D17" s="6"/>
      <c r="E17" s="6"/>
      <c r="F17" s="6"/>
      <c r="G17" s="6"/>
    </row>
    <row r="18">
      <c r="A18" s="6"/>
      <c r="B18" s="6"/>
      <c r="C18" s="6"/>
      <c r="D18" s="6"/>
      <c r="E18" s="6"/>
      <c r="F18" s="6"/>
      <c r="G18" s="6"/>
    </row>
    <row r="19">
      <c r="A19" s="6"/>
      <c r="B19" s="6"/>
      <c r="C19" s="6"/>
      <c r="D19" s="6"/>
      <c r="E19" s="6"/>
      <c r="F19" s="6"/>
      <c r="G19" s="6"/>
    </row>
    <row r="20">
      <c r="A20" s="6"/>
      <c r="B20" s="6"/>
      <c r="C20" s="6"/>
      <c r="D20" s="6"/>
      <c r="E20" s="6"/>
      <c r="F20" s="6"/>
      <c r="G20" s="6"/>
    </row>
    <row r="21" ht="15.75" customHeight="1">
      <c r="A21" s="6"/>
      <c r="B21" s="6"/>
      <c r="C21" s="6"/>
      <c r="D21" s="6"/>
      <c r="E21" s="6"/>
      <c r="F21" s="6"/>
      <c r="G21" s="6"/>
    </row>
    <row r="22" ht="15.75" customHeight="1">
      <c r="A22" s="6"/>
      <c r="B22" s="6"/>
      <c r="C22" s="6"/>
      <c r="D22" s="6"/>
      <c r="E22" s="6"/>
      <c r="F22" s="6"/>
      <c r="G22" s="6"/>
    </row>
    <row r="23" ht="15.75" customHeight="1">
      <c r="A23" s="6"/>
      <c r="B23" s="6"/>
      <c r="C23" s="6"/>
      <c r="D23" s="6"/>
      <c r="E23" s="6"/>
      <c r="F23" s="6"/>
      <c r="G23" s="6"/>
    </row>
    <row r="24" ht="15.75" customHeight="1">
      <c r="A24" s="6"/>
      <c r="B24" s="6"/>
      <c r="C24" s="6"/>
      <c r="D24" s="6"/>
      <c r="E24" s="6"/>
      <c r="F24" s="6"/>
      <c r="G24" s="6"/>
    </row>
    <row r="25" ht="15.75" customHeight="1">
      <c r="A25" s="6"/>
      <c r="B25" s="6"/>
      <c r="C25" s="6"/>
      <c r="D25" s="6"/>
      <c r="E25" s="6"/>
      <c r="F25" s="6"/>
      <c r="G25" s="6"/>
    </row>
    <row r="26" ht="15.75" customHeight="1">
      <c r="A26" s="6"/>
      <c r="B26" s="6"/>
      <c r="C26" s="6"/>
      <c r="D26" s="6"/>
      <c r="E26" s="6"/>
      <c r="F26" s="6"/>
      <c r="G26" s="6"/>
    </row>
    <row r="27" ht="15.75" customHeight="1">
      <c r="A27" s="6"/>
      <c r="B27" s="6"/>
      <c r="C27" s="6"/>
      <c r="D27" s="6"/>
      <c r="E27" s="6"/>
      <c r="F27" s="6"/>
      <c r="G27" s="6"/>
    </row>
    <row r="28" ht="15.75" customHeight="1">
      <c r="A28" s="6"/>
      <c r="B28" s="6"/>
      <c r="C28" s="6"/>
      <c r="D28" s="6"/>
      <c r="E28" s="6"/>
      <c r="F28" s="6"/>
      <c r="G28" s="6"/>
    </row>
    <row r="29" ht="15.75" customHeight="1">
      <c r="A29" s="6"/>
      <c r="B29" s="6"/>
      <c r="C29" s="6"/>
      <c r="D29" s="6"/>
      <c r="E29" s="6"/>
      <c r="F29" s="6"/>
      <c r="G29" s="6"/>
    </row>
    <row r="30" ht="15.75" customHeight="1">
      <c r="A30" s="6"/>
      <c r="B30" s="6"/>
      <c r="C30" s="6"/>
      <c r="D30" s="6"/>
      <c r="E30" s="6"/>
      <c r="F30" s="6"/>
      <c r="G30" s="6"/>
    </row>
    <row r="31" ht="15.75" customHeight="1">
      <c r="A31" s="6"/>
      <c r="B31" s="6"/>
      <c r="C31" s="6"/>
      <c r="D31" s="6"/>
      <c r="E31" s="6"/>
      <c r="F31" s="6"/>
      <c r="G31" s="6"/>
    </row>
    <row r="32" ht="15.75" customHeight="1">
      <c r="A32" s="6"/>
      <c r="B32" s="6"/>
      <c r="C32" s="6"/>
      <c r="D32" s="6"/>
      <c r="E32" s="6"/>
      <c r="F32" s="6"/>
      <c r="G32" s="6"/>
    </row>
    <row r="33" ht="15.75" customHeight="1">
      <c r="A33" s="6"/>
      <c r="B33" s="6"/>
      <c r="C33" s="6"/>
      <c r="D33" s="6"/>
      <c r="E33" s="6"/>
      <c r="F33" s="6"/>
      <c r="G33" s="6"/>
    </row>
    <row r="34" ht="15.75" customHeight="1">
      <c r="A34" s="6"/>
      <c r="B34" s="6"/>
      <c r="C34" s="6"/>
      <c r="D34" s="6"/>
      <c r="E34" s="6"/>
      <c r="F34" s="6"/>
      <c r="G34" s="6"/>
    </row>
    <row r="35" ht="15.75" customHeight="1">
      <c r="A35" s="6"/>
      <c r="B35" s="6"/>
      <c r="C35" s="6"/>
      <c r="D35" s="6"/>
      <c r="E35" s="6"/>
      <c r="F35" s="6"/>
      <c r="G35" s="6"/>
    </row>
    <row r="36" ht="15.75" customHeight="1">
      <c r="A36" s="6"/>
      <c r="B36" s="6"/>
      <c r="C36" s="6"/>
      <c r="D36" s="6"/>
      <c r="E36" s="6"/>
      <c r="F36" s="6"/>
      <c r="G36" s="6"/>
    </row>
    <row r="37" ht="15.75" customHeight="1">
      <c r="A37" s="6"/>
      <c r="B37" s="6"/>
      <c r="C37" s="6"/>
      <c r="D37" s="6"/>
      <c r="E37" s="6"/>
      <c r="F37" s="6"/>
      <c r="G37" s="6"/>
    </row>
    <row r="38" ht="15.75" customHeight="1">
      <c r="A38" s="6"/>
      <c r="B38" s="6"/>
      <c r="C38" s="6"/>
      <c r="D38" s="6"/>
      <c r="E38" s="6"/>
      <c r="F38" s="6"/>
      <c r="G38" s="6"/>
    </row>
    <row r="39" ht="15.75" customHeight="1">
      <c r="A39" s="6"/>
      <c r="B39" s="6"/>
      <c r="C39" s="6"/>
      <c r="D39" s="6"/>
      <c r="E39" s="6"/>
      <c r="F39" s="6"/>
      <c r="G39" s="6"/>
    </row>
    <row r="40" ht="15.75" customHeight="1">
      <c r="A40" s="6"/>
      <c r="B40" s="6"/>
      <c r="C40" s="6"/>
      <c r="D40" s="6"/>
      <c r="E40" s="6"/>
      <c r="F40" s="6"/>
      <c r="G40" s="6"/>
    </row>
    <row r="41" ht="15.75" customHeight="1">
      <c r="A41" s="6"/>
      <c r="B41" s="6"/>
      <c r="C41" s="6"/>
      <c r="D41" s="6"/>
      <c r="E41" s="6"/>
      <c r="F41" s="6"/>
      <c r="G41" s="6"/>
    </row>
    <row r="42" ht="15.75" customHeight="1">
      <c r="A42" s="6"/>
      <c r="B42" s="6"/>
      <c r="C42" s="6"/>
      <c r="D42" s="6"/>
      <c r="E42" s="6"/>
      <c r="F42" s="6"/>
      <c r="G42" s="6"/>
    </row>
    <row r="43" ht="15.75" customHeight="1">
      <c r="A43" s="6"/>
      <c r="B43" s="6"/>
      <c r="C43" s="6"/>
      <c r="D43" s="6"/>
      <c r="E43" s="6"/>
      <c r="F43" s="6"/>
      <c r="G43" s="6"/>
    </row>
    <row r="44" ht="15.75" customHeight="1">
      <c r="A44" s="6"/>
      <c r="B44" s="6"/>
      <c r="C44" s="6"/>
      <c r="D44" s="6"/>
      <c r="E44" s="6"/>
      <c r="F44" s="6"/>
      <c r="G44" s="6"/>
    </row>
    <row r="45" ht="15.75" customHeight="1">
      <c r="A45" s="6"/>
      <c r="B45" s="6"/>
      <c r="C45" s="6"/>
      <c r="D45" s="6"/>
      <c r="E45" s="6"/>
      <c r="F45" s="6"/>
      <c r="G45" s="6"/>
    </row>
    <row r="46" ht="15.75" customHeight="1">
      <c r="A46" s="6"/>
      <c r="B46" s="6"/>
      <c r="C46" s="6"/>
      <c r="D46" s="6"/>
      <c r="E46" s="6"/>
      <c r="F46" s="6"/>
      <c r="G46" s="6"/>
    </row>
    <row r="47" ht="15.75" customHeight="1">
      <c r="A47" s="6"/>
      <c r="B47" s="6"/>
      <c r="C47" s="6"/>
      <c r="D47" s="6"/>
      <c r="E47" s="6"/>
      <c r="F47" s="6"/>
      <c r="G47" s="6"/>
    </row>
    <row r="48" ht="15.75" customHeight="1">
      <c r="A48" s="6"/>
      <c r="B48" s="6"/>
      <c r="C48" s="6"/>
      <c r="D48" s="6"/>
      <c r="E48" s="6"/>
      <c r="F48" s="6"/>
      <c r="G48" s="6"/>
    </row>
    <row r="49" ht="15.75" customHeight="1">
      <c r="A49" s="6"/>
      <c r="B49" s="6"/>
      <c r="C49" s="6"/>
      <c r="D49" s="6"/>
      <c r="E49" s="6"/>
      <c r="F49" s="6"/>
      <c r="G49" s="6"/>
    </row>
    <row r="50" ht="15.75" customHeight="1">
      <c r="A50" s="6"/>
      <c r="B50" s="6"/>
      <c r="C50" s="6"/>
      <c r="D50" s="6"/>
      <c r="E50" s="6"/>
      <c r="F50" s="6"/>
      <c r="G50" s="6"/>
    </row>
    <row r="51" ht="15.75" customHeight="1">
      <c r="A51" s="6"/>
      <c r="B51" s="6"/>
      <c r="C51" s="6"/>
      <c r="D51" s="6"/>
      <c r="E51" s="6"/>
      <c r="F51" s="6"/>
      <c r="G51" s="6"/>
    </row>
    <row r="52" ht="15.75" customHeight="1">
      <c r="A52" s="6"/>
      <c r="B52" s="6"/>
      <c r="C52" s="6"/>
      <c r="D52" s="6"/>
      <c r="E52" s="6"/>
      <c r="F52" s="6"/>
      <c r="G52" s="6"/>
    </row>
    <row r="53" ht="15.75" customHeight="1">
      <c r="A53" s="6"/>
      <c r="B53" s="6"/>
      <c r="C53" s="6"/>
      <c r="D53" s="6"/>
      <c r="E53" s="6"/>
      <c r="F53" s="6"/>
      <c r="G53" s="6"/>
    </row>
    <row r="54" ht="15.75" customHeight="1">
      <c r="A54" s="6"/>
      <c r="B54" s="6"/>
      <c r="C54" s="6"/>
      <c r="D54" s="6"/>
      <c r="E54" s="6"/>
      <c r="F54" s="6"/>
      <c r="G54" s="6"/>
    </row>
    <row r="55" ht="15.75" customHeight="1">
      <c r="A55" s="6"/>
      <c r="B55" s="6"/>
      <c r="C55" s="6"/>
      <c r="D55" s="6"/>
      <c r="E55" s="6"/>
      <c r="F55" s="6"/>
      <c r="G55" s="6"/>
    </row>
    <row r="56" ht="15.75" customHeight="1">
      <c r="A56" s="6"/>
      <c r="B56" s="6"/>
      <c r="C56" s="6"/>
      <c r="D56" s="6"/>
      <c r="E56" s="6"/>
      <c r="F56" s="6"/>
      <c r="G56" s="6"/>
    </row>
    <row r="57" ht="15.75" customHeight="1">
      <c r="A57" s="6"/>
      <c r="B57" s="6"/>
      <c r="C57" s="6"/>
      <c r="D57" s="6"/>
      <c r="E57" s="6"/>
      <c r="F57" s="6"/>
      <c r="G57" s="6"/>
    </row>
    <row r="58" ht="15.75" customHeight="1">
      <c r="A58" s="6"/>
      <c r="B58" s="6"/>
      <c r="C58" s="6"/>
      <c r="D58" s="6"/>
      <c r="E58" s="6"/>
      <c r="F58" s="6"/>
      <c r="G58" s="6"/>
    </row>
    <row r="59" ht="15.75" customHeight="1">
      <c r="A59" s="6"/>
      <c r="B59" s="6"/>
      <c r="C59" s="6"/>
      <c r="D59" s="6"/>
      <c r="E59" s="6"/>
      <c r="F59" s="6"/>
      <c r="G59" s="6"/>
    </row>
    <row r="60" ht="15.75" customHeight="1">
      <c r="A60" s="6"/>
      <c r="B60" s="6"/>
      <c r="C60" s="6"/>
      <c r="D60" s="6"/>
      <c r="E60" s="6"/>
      <c r="F60" s="6"/>
      <c r="G60" s="6"/>
    </row>
    <row r="61" ht="15.75" customHeight="1">
      <c r="A61" s="6"/>
      <c r="B61" s="6"/>
      <c r="C61" s="6"/>
      <c r="D61" s="6"/>
      <c r="E61" s="6"/>
      <c r="F61" s="6"/>
      <c r="G61" s="6"/>
    </row>
    <row r="62" ht="15.75" customHeight="1">
      <c r="A62" s="6"/>
      <c r="B62" s="6"/>
      <c r="C62" s="6"/>
      <c r="D62" s="6"/>
      <c r="E62" s="6"/>
      <c r="F62" s="6"/>
      <c r="G62" s="6"/>
    </row>
    <row r="63" ht="15.75" customHeight="1">
      <c r="A63" s="6"/>
      <c r="B63" s="6"/>
      <c r="C63" s="6"/>
      <c r="D63" s="6"/>
      <c r="E63" s="6"/>
      <c r="F63" s="6"/>
      <c r="G63" s="6"/>
    </row>
    <row r="64" ht="15.75" customHeight="1">
      <c r="A64" s="6"/>
      <c r="B64" s="6"/>
      <c r="C64" s="6"/>
      <c r="D64" s="6"/>
      <c r="E64" s="6"/>
      <c r="F64" s="6"/>
      <c r="G64" s="6"/>
    </row>
    <row r="65" ht="15.75" customHeight="1">
      <c r="A65" s="6"/>
      <c r="B65" s="6"/>
      <c r="C65" s="6"/>
      <c r="D65" s="6"/>
      <c r="E65" s="6"/>
      <c r="F65" s="6"/>
      <c r="G65" s="6"/>
    </row>
    <row r="66" ht="15.75" customHeight="1">
      <c r="A66" s="6"/>
      <c r="B66" s="6"/>
      <c r="C66" s="6"/>
      <c r="D66" s="6"/>
      <c r="E66" s="6"/>
      <c r="F66" s="6"/>
      <c r="G66" s="6"/>
    </row>
    <row r="67" ht="15.75" customHeight="1">
      <c r="A67" s="6"/>
      <c r="B67" s="6"/>
      <c r="C67" s="6"/>
      <c r="D67" s="6"/>
      <c r="E67" s="6"/>
      <c r="F67" s="6"/>
      <c r="G67" s="6"/>
    </row>
    <row r="68" ht="15.75" customHeight="1">
      <c r="A68" s="6"/>
      <c r="B68" s="6"/>
      <c r="C68" s="6"/>
      <c r="D68" s="6"/>
      <c r="E68" s="6"/>
      <c r="F68" s="6"/>
      <c r="G68" s="6"/>
    </row>
    <row r="69" ht="15.75" customHeight="1">
      <c r="A69" s="6"/>
      <c r="B69" s="6"/>
      <c r="C69" s="6"/>
      <c r="D69" s="6"/>
      <c r="E69" s="6"/>
      <c r="F69" s="6"/>
      <c r="G69" s="6"/>
    </row>
    <row r="70" ht="15.75" customHeight="1">
      <c r="A70" s="6"/>
      <c r="B70" s="6"/>
      <c r="C70" s="6"/>
      <c r="D70" s="6"/>
      <c r="E70" s="6"/>
      <c r="F70" s="6"/>
      <c r="G70" s="6"/>
    </row>
    <row r="71" ht="15.75" customHeight="1">
      <c r="A71" s="6"/>
      <c r="B71" s="6"/>
      <c r="C71" s="6"/>
      <c r="D71" s="6"/>
      <c r="E71" s="6"/>
      <c r="F71" s="6"/>
      <c r="G71" s="6"/>
    </row>
    <row r="72" ht="15.75" customHeight="1">
      <c r="A72" s="6"/>
      <c r="B72" s="6"/>
      <c r="C72" s="6"/>
      <c r="D72" s="6"/>
      <c r="E72" s="6"/>
      <c r="F72" s="6"/>
      <c r="G72" s="6"/>
    </row>
    <row r="73" ht="15.75" customHeight="1">
      <c r="A73" s="6"/>
      <c r="B73" s="6"/>
      <c r="C73" s="6"/>
      <c r="D73" s="6"/>
      <c r="E73" s="6"/>
      <c r="F73" s="6"/>
      <c r="G73" s="6"/>
    </row>
    <row r="74" ht="15.75" customHeight="1">
      <c r="A74" s="6"/>
      <c r="B74" s="6"/>
      <c r="C74" s="6"/>
      <c r="D74" s="6"/>
      <c r="E74" s="6"/>
      <c r="F74" s="6"/>
      <c r="G74" s="6"/>
    </row>
    <row r="75" ht="15.75" customHeight="1">
      <c r="A75" s="6"/>
      <c r="B75" s="6"/>
      <c r="C75" s="6"/>
      <c r="D75" s="6"/>
      <c r="E75" s="6"/>
      <c r="F75" s="6"/>
      <c r="G75" s="6"/>
    </row>
    <row r="76" ht="15.75" customHeight="1">
      <c r="A76" s="6"/>
      <c r="B76" s="6"/>
      <c r="C76" s="6"/>
      <c r="D76" s="6"/>
      <c r="E76" s="6"/>
      <c r="F76" s="6"/>
      <c r="G76" s="6"/>
    </row>
    <row r="77" ht="15.75" customHeight="1">
      <c r="A77" s="6"/>
      <c r="B77" s="6"/>
      <c r="C77" s="6"/>
      <c r="D77" s="6"/>
      <c r="E77" s="6"/>
      <c r="F77" s="6"/>
      <c r="G77" s="6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71"/>
    <col customWidth="1" min="8" max="26" width="8.71"/>
  </cols>
  <sheetData>
    <row r="1">
      <c r="A1" s="4" t="s">
        <v>43</v>
      </c>
    </row>
    <row r="2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</row>
    <row r="3">
      <c r="A3" s="2">
        <f>IFERROR(__xludf.DUMMYFUNCTION("FILTER('БАЗА'!A2:G100, 'БАЗА'!D2:D100 &lt;&gt; ""Полная семья"")"),1.0)</f>
        <v>1</v>
      </c>
      <c r="B3" s="6" t="str">
        <f>IFERROR(__xludf.DUMMYFUNCTION("""COMPUTED_VALUE"""),"Иванов Дмитрий")</f>
        <v>Иванов Дмитрий</v>
      </c>
      <c r="C3" s="6" t="str">
        <f>IFERROR(__xludf.DUMMYFUNCTION("""COMPUTED_VALUE"""),"5А")</f>
        <v>5А</v>
      </c>
      <c r="D3" s="6" t="str">
        <f>IFERROR(__xludf.DUMMYFUNCTION("""COMPUTED_VALUE"""),"Многодетная")</f>
        <v>Многодетная</v>
      </c>
      <c r="E3" s="6" t="str">
        <f>IFERROR(__xludf.DUMMYFUNCTION("""COMPUTED_VALUE"""),"Подготовительная")</f>
        <v>Подготовительная</v>
      </c>
      <c r="F3" s="6" t="str">
        <f>IFERROR(__xludf.DUMMYFUNCTION("""COMPUTED_VALUE"""),"Норма")</f>
        <v>Норма</v>
      </c>
      <c r="G3" s="6">
        <f>IFERROR(__xludf.DUMMYFUNCTION("""COMPUTED_VALUE"""),2.51)</f>
        <v>2.51</v>
      </c>
    </row>
    <row r="4">
      <c r="A4" s="6">
        <f>IFERROR(__xludf.DUMMYFUNCTION("""COMPUTED_VALUE"""),2.0)</f>
        <v>2</v>
      </c>
      <c r="B4" s="6" t="str">
        <f>IFERROR(__xludf.DUMMYFUNCTION("""COMPUTED_VALUE"""),"Смирнов Александр")</f>
        <v>Смирнов Александр</v>
      </c>
      <c r="C4" s="6" t="str">
        <f>IFERROR(__xludf.DUMMYFUNCTION("""COMPUTED_VALUE"""),"5А")</f>
        <v>5А</v>
      </c>
      <c r="D4" s="6" t="str">
        <f>IFERROR(__xludf.DUMMYFUNCTION("""COMPUTED_VALUE"""),"Неполная")</f>
        <v>Неполная</v>
      </c>
      <c r="E4" s="6" t="str">
        <f>IFERROR(__xludf.DUMMYFUNCTION("""COMPUTED_VALUE"""),"Спец. группа")</f>
        <v>Спец. группа</v>
      </c>
      <c r="F4" s="6" t="str">
        <f>IFERROR(__xludf.DUMMYFUNCTION("""COMPUTED_VALUE"""),"Группа риска")</f>
        <v>Группа риска</v>
      </c>
      <c r="G4" s="6">
        <f>IFERROR(__xludf.DUMMYFUNCTION("""COMPUTED_VALUE"""),3.7)</f>
        <v>3.7</v>
      </c>
    </row>
    <row r="5">
      <c r="A5" s="6">
        <f>IFERROR(__xludf.DUMMYFUNCTION("""COMPUTED_VALUE"""),3.0)</f>
        <v>3</v>
      </c>
      <c r="B5" s="6" t="str">
        <f>IFERROR(__xludf.DUMMYFUNCTION("""COMPUTED_VALUE"""),"Попов Сергей")</f>
        <v>Попов Сергей</v>
      </c>
      <c r="C5" s="6" t="str">
        <f>IFERROR(__xludf.DUMMYFUNCTION("""COMPUTED_VALUE"""),"5А")</f>
        <v>5А</v>
      </c>
      <c r="D5" s="6" t="str">
        <f>IFERROR(__xludf.DUMMYFUNCTION("""COMPUTED_VALUE"""),"Малообеспеченная")</f>
        <v>Малообеспеченная</v>
      </c>
      <c r="E5" s="6" t="str">
        <f>IFERROR(__xludf.DUMMYFUNCTION("""COMPUTED_VALUE"""),"Подготовительная")</f>
        <v>Подготовительная</v>
      </c>
      <c r="F5" s="6" t="str">
        <f>IFERROR(__xludf.DUMMYFUNCTION("""COMPUTED_VALUE"""),"Группа риска")</f>
        <v>Группа риска</v>
      </c>
      <c r="G5" s="6">
        <f>IFERROR(__xludf.DUMMYFUNCTION("""COMPUTED_VALUE"""),3.29)</f>
        <v>3.29</v>
      </c>
    </row>
    <row r="6">
      <c r="A6" s="6">
        <f>IFERROR(__xludf.DUMMYFUNCTION("""COMPUTED_VALUE"""),4.0)</f>
        <v>4</v>
      </c>
      <c r="B6" s="6" t="str">
        <f>IFERROR(__xludf.DUMMYFUNCTION("""COMPUTED_VALUE"""),"Михайлов Мария")</f>
        <v>Михайлов Мария</v>
      </c>
      <c r="C6" s="6" t="str">
        <f>IFERROR(__xludf.DUMMYFUNCTION("""COMPUTED_VALUE"""),"5А")</f>
        <v>5А</v>
      </c>
      <c r="D6" s="6" t="str">
        <f>IFERROR(__xludf.DUMMYFUNCTION("""COMPUTED_VALUE"""),"Неполная")</f>
        <v>Неполная</v>
      </c>
      <c r="E6" s="6" t="str">
        <f>IFERROR(__xludf.DUMMYFUNCTION("""COMPUTED_VALUE"""),"Подготовительная")</f>
        <v>Подготовительная</v>
      </c>
      <c r="F6" s="6" t="str">
        <f>IFERROR(__xludf.DUMMYFUNCTION("""COMPUTED_VALUE"""),"Норма")</f>
        <v>Норма</v>
      </c>
      <c r="G6" s="6">
        <f>IFERROR(__xludf.DUMMYFUNCTION("""COMPUTED_VALUE"""),4.0)</f>
        <v>4</v>
      </c>
    </row>
    <row r="7">
      <c r="A7" s="6">
        <f>IFERROR(__xludf.DUMMYFUNCTION("""COMPUTED_VALUE"""),5.0)</f>
        <v>5</v>
      </c>
      <c r="B7" s="6" t="str">
        <f>IFERROR(__xludf.DUMMYFUNCTION("""COMPUTED_VALUE"""),"Кузнецов Сергей")</f>
        <v>Кузнецов Сергей</v>
      </c>
      <c r="C7" s="6" t="str">
        <f>IFERROR(__xludf.DUMMYFUNCTION("""COMPUTED_VALUE"""),"5А")</f>
        <v>5А</v>
      </c>
      <c r="D7" s="6" t="str">
        <f>IFERROR(__xludf.DUMMYFUNCTION("""COMPUTED_VALUE"""),"Многодетная")</f>
        <v>Многодетная</v>
      </c>
      <c r="E7" s="6" t="str">
        <f>IFERROR(__xludf.DUMMYFUNCTION("""COMPUTED_VALUE"""),"Подготовительная")</f>
        <v>Подготовительная</v>
      </c>
      <c r="F7" s="6" t="str">
        <f>IFERROR(__xludf.DUMMYFUNCTION("""COMPUTED_VALUE"""),"Группа риска")</f>
        <v>Группа риска</v>
      </c>
      <c r="G7" s="6">
        <f>IFERROR(__xludf.DUMMYFUNCTION("""COMPUTED_VALUE"""),3.97)</f>
        <v>3.97</v>
      </c>
    </row>
    <row r="8">
      <c r="A8" s="6">
        <f>IFERROR(__xludf.DUMMYFUNCTION("""COMPUTED_VALUE"""),6.0)</f>
        <v>6</v>
      </c>
      <c r="B8" s="6" t="str">
        <f>IFERROR(__xludf.DUMMYFUNCTION("""COMPUTED_VALUE"""),"Михайлова Дарья")</f>
        <v>Михайлова Дарья</v>
      </c>
      <c r="C8" s="6" t="str">
        <f>IFERROR(__xludf.DUMMYFUNCTION("""COMPUTED_VALUE"""),"5А")</f>
        <v>5А</v>
      </c>
      <c r="D8" s="6" t="str">
        <f>IFERROR(__xludf.DUMMYFUNCTION("""COMPUTED_VALUE"""),"Многодетная")</f>
        <v>Многодетная</v>
      </c>
      <c r="E8" s="6" t="str">
        <f>IFERROR(__xludf.DUMMYFUNCTION("""COMPUTED_VALUE"""),"Основная")</f>
        <v>Основная</v>
      </c>
      <c r="F8" s="6" t="str">
        <f>IFERROR(__xludf.DUMMYFUNCTION("""COMPUTED_VALUE"""),"Норма")</f>
        <v>Норма</v>
      </c>
      <c r="G8" s="6">
        <f>IFERROR(__xludf.DUMMYFUNCTION("""COMPUTED_VALUE"""),3.29)</f>
        <v>3.29</v>
      </c>
    </row>
    <row r="9">
      <c r="A9" s="6">
        <f>IFERROR(__xludf.DUMMYFUNCTION("""COMPUTED_VALUE"""),7.0)</f>
        <v>7</v>
      </c>
      <c r="B9" s="6" t="str">
        <f>IFERROR(__xludf.DUMMYFUNCTION("""COMPUTED_VALUE"""),"Соколов Дмитрий")</f>
        <v>Соколов Дмитрий</v>
      </c>
      <c r="C9" s="6" t="str">
        <f>IFERROR(__xludf.DUMMYFUNCTION("""COMPUTED_VALUE"""),"5А")</f>
        <v>5А</v>
      </c>
      <c r="D9" s="6" t="str">
        <f>IFERROR(__xludf.DUMMYFUNCTION("""COMPUTED_VALUE"""),"Многодетная")</f>
        <v>Многодетная</v>
      </c>
      <c r="E9" s="6" t="str">
        <f>IFERROR(__xludf.DUMMYFUNCTION("""COMPUTED_VALUE"""),"Подготовительная")</f>
        <v>Подготовительная</v>
      </c>
      <c r="F9" s="6" t="str">
        <f>IFERROR(__xludf.DUMMYFUNCTION("""COMPUTED_VALUE"""),"Норма")</f>
        <v>Норма</v>
      </c>
      <c r="G9" s="6">
        <f>IFERROR(__xludf.DUMMYFUNCTION("""COMPUTED_VALUE"""),3.98)</f>
        <v>3.98</v>
      </c>
    </row>
    <row r="10">
      <c r="A10" s="6">
        <f>IFERROR(__xludf.DUMMYFUNCTION("""COMPUTED_VALUE"""),8.0)</f>
        <v>8</v>
      </c>
      <c r="B10" s="6" t="str">
        <f>IFERROR(__xludf.DUMMYFUNCTION("""COMPUTED_VALUE"""),"Кузнецов Сергей")</f>
        <v>Кузнецов Сергей</v>
      </c>
      <c r="C10" s="6" t="str">
        <f>IFERROR(__xludf.DUMMYFUNCTION("""COMPUTED_VALUE"""),"5А")</f>
        <v>5А</v>
      </c>
      <c r="D10" s="6" t="str">
        <f>IFERROR(__xludf.DUMMYFUNCTION("""COMPUTED_VALUE"""),"Малообеспеченная")</f>
        <v>Малообеспеченная</v>
      </c>
      <c r="E10" s="6" t="str">
        <f>IFERROR(__xludf.DUMMYFUNCTION("""COMPUTED_VALUE"""),"Основная")</f>
        <v>Основная</v>
      </c>
      <c r="F10" s="6" t="str">
        <f>IFERROR(__xludf.DUMMYFUNCTION("""COMPUTED_VALUE"""),"Норма")</f>
        <v>Норма</v>
      </c>
      <c r="G10" s="6">
        <f>IFERROR(__xludf.DUMMYFUNCTION("""COMPUTED_VALUE"""),3.49)</f>
        <v>3.49</v>
      </c>
    </row>
    <row r="11">
      <c r="A11" s="6">
        <f>IFERROR(__xludf.DUMMYFUNCTION("""COMPUTED_VALUE"""),9.0)</f>
        <v>9</v>
      </c>
      <c r="B11" s="6" t="str">
        <f>IFERROR(__xludf.DUMMYFUNCTION("""COMPUTED_VALUE"""),"Петров Максим")</f>
        <v>Петров Максим</v>
      </c>
      <c r="C11" s="6" t="str">
        <f>IFERROR(__xludf.DUMMYFUNCTION("""COMPUTED_VALUE"""),"5А")</f>
        <v>5А</v>
      </c>
      <c r="D11" s="6" t="str">
        <f>IFERROR(__xludf.DUMMYFUNCTION("""COMPUTED_VALUE"""),"Многодетная")</f>
        <v>Многодетная</v>
      </c>
      <c r="E11" s="6" t="str">
        <f>IFERROR(__xludf.DUMMYFUNCTION("""COMPUTED_VALUE"""),"Подготовительная")</f>
        <v>Подготовительная</v>
      </c>
      <c r="F11" s="6" t="str">
        <f>IFERROR(__xludf.DUMMYFUNCTION("""COMPUTED_VALUE"""),"Группа риска")</f>
        <v>Группа риска</v>
      </c>
      <c r="G11" s="6">
        <f>IFERROR(__xludf.DUMMYFUNCTION("""COMPUTED_VALUE"""),4.08)</f>
        <v>4.08</v>
      </c>
    </row>
    <row r="12">
      <c r="A12" s="6">
        <f>IFERROR(__xludf.DUMMYFUNCTION("""COMPUTED_VALUE"""),10.0)</f>
        <v>10</v>
      </c>
      <c r="B12" s="6" t="str">
        <f>IFERROR(__xludf.DUMMYFUNCTION("""COMPUTED_VALUE"""),"Попова Дарья")</f>
        <v>Попова Дарья</v>
      </c>
      <c r="C12" s="6" t="str">
        <f>IFERROR(__xludf.DUMMYFUNCTION("""COMPUTED_VALUE"""),"5А")</f>
        <v>5А</v>
      </c>
      <c r="D12" s="6" t="str">
        <f>IFERROR(__xludf.DUMMYFUNCTION("""COMPUTED_VALUE"""),"Многодетная")</f>
        <v>Многодетная</v>
      </c>
      <c r="E12" s="6" t="str">
        <f>IFERROR(__xludf.DUMMYFUNCTION("""COMPUTED_VALUE"""),"Спец. группа")</f>
        <v>Спец. группа</v>
      </c>
      <c r="F12" s="6" t="str">
        <f>IFERROR(__xludf.DUMMYFUNCTION("""COMPUTED_VALUE"""),"Норма")</f>
        <v>Норма</v>
      </c>
      <c r="G12" s="6">
        <f>IFERROR(__xludf.DUMMYFUNCTION("""COMPUTED_VALUE"""),2.71)</f>
        <v>2.71</v>
      </c>
    </row>
    <row r="13">
      <c r="A13" s="6">
        <f>IFERROR(__xludf.DUMMYFUNCTION("""COMPUTED_VALUE"""),11.0)</f>
        <v>11</v>
      </c>
      <c r="B13" s="6" t="str">
        <f>IFERROR(__xludf.DUMMYFUNCTION("""COMPUTED_VALUE"""),"Соколов Мария")</f>
        <v>Соколов Мария</v>
      </c>
      <c r="C13" s="6" t="str">
        <f>IFERROR(__xludf.DUMMYFUNCTION("""COMPUTED_VALUE"""),"5А")</f>
        <v>5А</v>
      </c>
      <c r="D13" s="6" t="str">
        <f>IFERROR(__xludf.DUMMYFUNCTION("""COMPUTED_VALUE"""),"Многодетная")</f>
        <v>Многодетная</v>
      </c>
      <c r="E13" s="6" t="str">
        <f>IFERROR(__xludf.DUMMYFUNCTION("""COMPUTED_VALUE"""),"Подготовительная")</f>
        <v>Подготовительная</v>
      </c>
      <c r="F13" s="6" t="str">
        <f>IFERROR(__xludf.DUMMYFUNCTION("""COMPUTED_VALUE"""),"Норма")</f>
        <v>Норма</v>
      </c>
      <c r="G13" s="6">
        <f>IFERROR(__xludf.DUMMYFUNCTION("""COMPUTED_VALUE"""),4.14)</f>
        <v>4.14</v>
      </c>
    </row>
    <row r="14">
      <c r="A14" s="6">
        <f>IFERROR(__xludf.DUMMYFUNCTION("""COMPUTED_VALUE"""),12.0)</f>
        <v>12</v>
      </c>
      <c r="B14" s="6" t="str">
        <f>IFERROR(__xludf.DUMMYFUNCTION("""COMPUTED_VALUE"""),"Попов Дмитрий")</f>
        <v>Попов Дмитрий</v>
      </c>
      <c r="C14" s="6" t="str">
        <f>IFERROR(__xludf.DUMMYFUNCTION("""COMPUTED_VALUE"""),"5А")</f>
        <v>5А</v>
      </c>
      <c r="D14" s="6" t="str">
        <f>IFERROR(__xludf.DUMMYFUNCTION("""COMPUTED_VALUE"""),"Неполная")</f>
        <v>Неполная</v>
      </c>
      <c r="E14" s="6" t="str">
        <f>IFERROR(__xludf.DUMMYFUNCTION("""COMPUTED_VALUE"""),"Подготовительная")</f>
        <v>Подготовительная</v>
      </c>
      <c r="F14" s="6" t="str">
        <f>IFERROR(__xludf.DUMMYFUNCTION("""COMPUTED_VALUE"""),"Норма")</f>
        <v>Норма</v>
      </c>
      <c r="G14" s="6">
        <f>IFERROR(__xludf.DUMMYFUNCTION("""COMPUTED_VALUE"""),4.38)</f>
        <v>4.38</v>
      </c>
    </row>
    <row r="15">
      <c r="A15" s="6">
        <f>IFERROR(__xludf.DUMMYFUNCTION("""COMPUTED_VALUE"""),13.0)</f>
        <v>13</v>
      </c>
      <c r="B15" s="6" t="str">
        <f>IFERROR(__xludf.DUMMYFUNCTION("""COMPUTED_VALUE"""),"Соколов Максим")</f>
        <v>Соколов Максим</v>
      </c>
      <c r="C15" s="6" t="str">
        <f>IFERROR(__xludf.DUMMYFUNCTION("""COMPUTED_VALUE"""),"5А")</f>
        <v>5А</v>
      </c>
      <c r="D15" s="6" t="str">
        <f>IFERROR(__xludf.DUMMYFUNCTION("""COMPUTED_VALUE"""),"Неполная")</f>
        <v>Неполная</v>
      </c>
      <c r="E15" s="6" t="str">
        <f>IFERROR(__xludf.DUMMYFUNCTION("""COMPUTED_VALUE"""),"Спец. группа")</f>
        <v>Спец. группа</v>
      </c>
      <c r="F15" s="6" t="str">
        <f>IFERROR(__xludf.DUMMYFUNCTION("""COMPUTED_VALUE"""),"Группа риска")</f>
        <v>Группа риска</v>
      </c>
      <c r="G15" s="6">
        <f>IFERROR(__xludf.DUMMYFUNCTION("""COMPUTED_VALUE"""),4.32)</f>
        <v>4.32</v>
      </c>
    </row>
    <row r="16">
      <c r="A16" s="6">
        <f>IFERROR(__xludf.DUMMYFUNCTION("""COMPUTED_VALUE"""),15.0)</f>
        <v>15</v>
      </c>
      <c r="B16" s="6" t="str">
        <f>IFERROR(__xludf.DUMMYFUNCTION("""COMPUTED_VALUE"""),"Соколов Максим")</f>
        <v>Соколов Максим</v>
      </c>
      <c r="C16" s="6" t="str">
        <f>IFERROR(__xludf.DUMMYFUNCTION("""COMPUTED_VALUE"""),"5А")</f>
        <v>5А</v>
      </c>
      <c r="D16" s="6" t="str">
        <f>IFERROR(__xludf.DUMMYFUNCTION("""COMPUTED_VALUE"""),"Многодетная")</f>
        <v>Многодетная</v>
      </c>
      <c r="E16" s="6" t="str">
        <f>IFERROR(__xludf.DUMMYFUNCTION("""COMPUTED_VALUE"""),"Подготовительная")</f>
        <v>Подготовительная</v>
      </c>
      <c r="F16" s="6" t="str">
        <f>IFERROR(__xludf.DUMMYFUNCTION("""COMPUTED_VALUE"""),"Норма")</f>
        <v>Норма</v>
      </c>
      <c r="G16" s="6">
        <f>IFERROR(__xludf.DUMMYFUNCTION("""COMPUTED_VALUE"""),2.53)</f>
        <v>2.53</v>
      </c>
    </row>
    <row r="17">
      <c r="A17" s="6">
        <f>IFERROR(__xludf.DUMMYFUNCTION("""COMPUTED_VALUE"""),16.0)</f>
        <v>16</v>
      </c>
      <c r="B17" s="6" t="str">
        <f>IFERROR(__xludf.DUMMYFUNCTION("""COMPUTED_VALUE"""),"Петрова Дарья")</f>
        <v>Петрова Дарья</v>
      </c>
      <c r="C17" s="6" t="str">
        <f>IFERROR(__xludf.DUMMYFUNCTION("""COMPUTED_VALUE"""),"5А")</f>
        <v>5А</v>
      </c>
      <c r="D17" s="6" t="str">
        <f>IFERROR(__xludf.DUMMYFUNCTION("""COMPUTED_VALUE"""),"Многодетная")</f>
        <v>Многодетная</v>
      </c>
      <c r="E17" s="6" t="str">
        <f>IFERROR(__xludf.DUMMYFUNCTION("""COMPUTED_VALUE"""),"Подготовительная")</f>
        <v>Подготовительная</v>
      </c>
      <c r="F17" s="6" t="str">
        <f>IFERROR(__xludf.DUMMYFUNCTION("""COMPUTED_VALUE"""),"Норма")</f>
        <v>Норма</v>
      </c>
      <c r="G17" s="6">
        <f>IFERROR(__xludf.DUMMYFUNCTION("""COMPUTED_VALUE"""),3.54)</f>
        <v>3.54</v>
      </c>
    </row>
    <row r="18">
      <c r="A18" s="6">
        <f>IFERROR(__xludf.DUMMYFUNCTION("""COMPUTED_VALUE"""),17.0)</f>
        <v>17</v>
      </c>
      <c r="B18" s="6" t="str">
        <f>IFERROR(__xludf.DUMMYFUNCTION("""COMPUTED_VALUE"""),"Кузнецов Александр")</f>
        <v>Кузнецов Александр</v>
      </c>
      <c r="C18" s="6" t="str">
        <f>IFERROR(__xludf.DUMMYFUNCTION("""COMPUTED_VALUE"""),"5А")</f>
        <v>5А</v>
      </c>
      <c r="D18" s="6" t="str">
        <f>IFERROR(__xludf.DUMMYFUNCTION("""COMPUTED_VALUE"""),"Малообеспеченная")</f>
        <v>Малообеспеченная</v>
      </c>
      <c r="E18" s="6" t="str">
        <f>IFERROR(__xludf.DUMMYFUNCTION("""COMPUTED_VALUE"""),"Основная")</f>
        <v>Основная</v>
      </c>
      <c r="F18" s="6" t="str">
        <f>IFERROR(__xludf.DUMMYFUNCTION("""COMPUTED_VALUE"""),"Норма")</f>
        <v>Норма</v>
      </c>
      <c r="G18" s="6">
        <f>IFERROR(__xludf.DUMMYFUNCTION("""COMPUTED_VALUE"""),3.61)</f>
        <v>3.61</v>
      </c>
    </row>
    <row r="19">
      <c r="A19" s="6">
        <f>IFERROR(__xludf.DUMMYFUNCTION("""COMPUTED_VALUE"""),22.0)</f>
        <v>22</v>
      </c>
      <c r="B19" s="6" t="str">
        <f>IFERROR(__xludf.DUMMYFUNCTION("""COMPUTED_VALUE"""),"Васильев Максим")</f>
        <v>Васильев Максим</v>
      </c>
      <c r="C19" s="6" t="str">
        <f>IFERROR(__xludf.DUMMYFUNCTION("""COMPUTED_VALUE"""),"5А")</f>
        <v>5А</v>
      </c>
      <c r="D19" s="6" t="str">
        <f>IFERROR(__xludf.DUMMYFUNCTION("""COMPUTED_VALUE"""),"Малообеспеченная")</f>
        <v>Малообеспеченная</v>
      </c>
      <c r="E19" s="6" t="str">
        <f>IFERROR(__xludf.DUMMYFUNCTION("""COMPUTED_VALUE"""),"Спец. группа")</f>
        <v>Спец. группа</v>
      </c>
      <c r="F19" s="6" t="str">
        <f>IFERROR(__xludf.DUMMYFUNCTION("""COMPUTED_VALUE"""),"Норма")</f>
        <v>Норма</v>
      </c>
      <c r="G19" s="6">
        <f>IFERROR(__xludf.DUMMYFUNCTION("""COMPUTED_VALUE"""),2.74)</f>
        <v>2.74</v>
      </c>
    </row>
    <row r="20">
      <c r="A20" s="6">
        <f>IFERROR(__xludf.DUMMYFUNCTION("""COMPUTED_VALUE"""),23.0)</f>
        <v>23</v>
      </c>
      <c r="B20" s="6" t="str">
        <f>IFERROR(__xludf.DUMMYFUNCTION("""COMPUTED_VALUE"""),"Васильева Анна")</f>
        <v>Васильева Анна</v>
      </c>
      <c r="C20" s="6" t="str">
        <f>IFERROR(__xludf.DUMMYFUNCTION("""COMPUTED_VALUE"""),"5А")</f>
        <v>5А</v>
      </c>
      <c r="D20" s="6" t="str">
        <f>IFERROR(__xludf.DUMMYFUNCTION("""COMPUTED_VALUE"""),"Неполная")</f>
        <v>Неполная</v>
      </c>
      <c r="E20" s="6" t="str">
        <f>IFERROR(__xludf.DUMMYFUNCTION("""COMPUTED_VALUE"""),"Спец. группа")</f>
        <v>Спец. группа</v>
      </c>
      <c r="F20" s="6" t="str">
        <f>IFERROR(__xludf.DUMMYFUNCTION("""COMPUTED_VALUE"""),"Норма")</f>
        <v>Норма</v>
      </c>
      <c r="G20" s="6">
        <f>IFERROR(__xludf.DUMMYFUNCTION("""COMPUTED_VALUE"""),3.5)</f>
        <v>3.5</v>
      </c>
    </row>
    <row r="21" ht="15.75" customHeight="1">
      <c r="A21" s="6">
        <f>IFERROR(__xludf.DUMMYFUNCTION("""COMPUTED_VALUE"""),26.0)</f>
        <v>26</v>
      </c>
      <c r="B21" s="6" t="str">
        <f>IFERROR(__xludf.DUMMYFUNCTION("""COMPUTED_VALUE"""),"Михайлова Анна")</f>
        <v>Михайлова Анна</v>
      </c>
      <c r="C21" s="6" t="str">
        <f>IFERROR(__xludf.DUMMYFUNCTION("""COMPUTED_VALUE"""),"5А")</f>
        <v>5А</v>
      </c>
      <c r="D21" s="6" t="str">
        <f>IFERROR(__xludf.DUMMYFUNCTION("""COMPUTED_VALUE"""),"Малообеспеченная")</f>
        <v>Малообеспеченная</v>
      </c>
      <c r="E21" s="6" t="str">
        <f>IFERROR(__xludf.DUMMYFUNCTION("""COMPUTED_VALUE"""),"Спец. группа")</f>
        <v>Спец. группа</v>
      </c>
      <c r="F21" s="6" t="str">
        <f>IFERROR(__xludf.DUMMYFUNCTION("""COMPUTED_VALUE"""),"Норма")</f>
        <v>Норма</v>
      </c>
      <c r="G21" s="6">
        <f>IFERROR(__xludf.DUMMYFUNCTION("""COMPUTED_VALUE"""),3.77)</f>
        <v>3.77</v>
      </c>
    </row>
    <row r="22" ht="15.75" customHeight="1">
      <c r="A22" s="6">
        <f>IFERROR(__xludf.DUMMYFUNCTION("""COMPUTED_VALUE"""),27.0)</f>
        <v>27</v>
      </c>
      <c r="B22" s="6" t="str">
        <f>IFERROR(__xludf.DUMMYFUNCTION("""COMPUTED_VALUE"""),"Петров Александр")</f>
        <v>Петров Александр</v>
      </c>
      <c r="C22" s="6" t="str">
        <f>IFERROR(__xludf.DUMMYFUNCTION("""COMPUTED_VALUE"""),"5А")</f>
        <v>5А</v>
      </c>
      <c r="D22" s="6" t="str">
        <f>IFERROR(__xludf.DUMMYFUNCTION("""COMPUTED_VALUE"""),"Многодетная")</f>
        <v>Многодетная</v>
      </c>
      <c r="E22" s="6" t="str">
        <f>IFERROR(__xludf.DUMMYFUNCTION("""COMPUTED_VALUE"""),"Подготовительная")</f>
        <v>Подготовительная</v>
      </c>
      <c r="F22" s="6" t="str">
        <f>IFERROR(__xludf.DUMMYFUNCTION("""COMPUTED_VALUE"""),"Норма")</f>
        <v>Норма</v>
      </c>
      <c r="G22" s="6">
        <f>IFERROR(__xludf.DUMMYFUNCTION("""COMPUTED_VALUE"""),3.04)</f>
        <v>3.04</v>
      </c>
    </row>
    <row r="23" ht="15.75" customHeight="1">
      <c r="A23" s="6">
        <f>IFERROR(__xludf.DUMMYFUNCTION("""COMPUTED_VALUE"""),29.0)</f>
        <v>29</v>
      </c>
      <c r="B23" s="6" t="str">
        <f>IFERROR(__xludf.DUMMYFUNCTION("""COMPUTED_VALUE"""),"Смирнова Мария")</f>
        <v>Смирнова Мария</v>
      </c>
      <c r="C23" s="6" t="str">
        <f>IFERROR(__xludf.DUMMYFUNCTION("""COMPUTED_VALUE"""),"5А")</f>
        <v>5А</v>
      </c>
      <c r="D23" s="6" t="str">
        <f>IFERROR(__xludf.DUMMYFUNCTION("""COMPUTED_VALUE"""),"Неполная")</f>
        <v>Неполная</v>
      </c>
      <c r="E23" s="6" t="str">
        <f>IFERROR(__xludf.DUMMYFUNCTION("""COMPUTED_VALUE"""),"Подготовительная")</f>
        <v>Подготовительная</v>
      </c>
      <c r="F23" s="6" t="str">
        <f>IFERROR(__xludf.DUMMYFUNCTION("""COMPUTED_VALUE"""),"Группа риска")</f>
        <v>Группа риска</v>
      </c>
      <c r="G23" s="6">
        <f>IFERROR(__xludf.DUMMYFUNCTION("""COMPUTED_VALUE"""),2.79)</f>
        <v>2.79</v>
      </c>
    </row>
    <row r="24" ht="15.75" customHeight="1">
      <c r="A24" s="6">
        <f>IFERROR(__xludf.DUMMYFUNCTION("""COMPUTED_VALUE"""),30.0)</f>
        <v>30</v>
      </c>
      <c r="B24" s="6" t="str">
        <f>IFERROR(__xludf.DUMMYFUNCTION("""COMPUTED_VALUE"""),"Кузнецов Сергей")</f>
        <v>Кузнецов Сергей</v>
      </c>
      <c r="C24" s="6" t="str">
        <f>IFERROR(__xludf.DUMMYFUNCTION("""COMPUTED_VALUE"""),"5А")</f>
        <v>5А</v>
      </c>
      <c r="D24" s="6" t="str">
        <f>IFERROR(__xludf.DUMMYFUNCTION("""COMPUTED_VALUE"""),"Многодетная")</f>
        <v>Многодетная</v>
      </c>
      <c r="E24" s="6" t="str">
        <f>IFERROR(__xludf.DUMMYFUNCTION("""COMPUTED_VALUE"""),"Спец. группа")</f>
        <v>Спец. группа</v>
      </c>
      <c r="F24" s="6" t="str">
        <f>IFERROR(__xludf.DUMMYFUNCTION("""COMPUTED_VALUE"""),"Норма")</f>
        <v>Норма</v>
      </c>
      <c r="G24" s="6">
        <f>IFERROR(__xludf.DUMMYFUNCTION("""COMPUTED_VALUE"""),3.0)</f>
        <v>3</v>
      </c>
    </row>
    <row r="25" ht="15.75" customHeight="1">
      <c r="A25" s="6"/>
      <c r="B25" s="6"/>
      <c r="C25" s="6"/>
      <c r="D25" s="6"/>
      <c r="E25" s="6"/>
      <c r="F25" s="6"/>
      <c r="G25" s="6"/>
    </row>
    <row r="26" ht="15.75" customHeight="1">
      <c r="A26" s="6"/>
      <c r="B26" s="6"/>
      <c r="C26" s="6"/>
      <c r="D26" s="6"/>
      <c r="E26" s="6"/>
      <c r="F26" s="6"/>
      <c r="G26" s="6"/>
    </row>
    <row r="27" ht="15.75" customHeight="1">
      <c r="A27" s="6"/>
      <c r="B27" s="6"/>
      <c r="C27" s="6"/>
      <c r="D27" s="6"/>
      <c r="E27" s="6"/>
      <c r="F27" s="6"/>
      <c r="G27" s="6"/>
    </row>
    <row r="28" ht="15.75" customHeight="1">
      <c r="A28" s="6"/>
      <c r="B28" s="6"/>
      <c r="C28" s="6"/>
      <c r="D28" s="6"/>
      <c r="E28" s="6"/>
      <c r="F28" s="6"/>
      <c r="G28" s="6"/>
    </row>
    <row r="29" ht="15.75" customHeight="1">
      <c r="A29" s="6"/>
      <c r="B29" s="6"/>
      <c r="C29" s="6"/>
      <c r="D29" s="6"/>
      <c r="E29" s="6"/>
      <c r="F29" s="6"/>
      <c r="G29" s="6"/>
    </row>
    <row r="30" ht="15.75" customHeight="1">
      <c r="A30" s="6"/>
      <c r="B30" s="6"/>
      <c r="C30" s="6"/>
      <c r="D30" s="6"/>
      <c r="E30" s="6"/>
      <c r="F30" s="6"/>
      <c r="G30" s="6"/>
    </row>
    <row r="31" ht="15.75" customHeight="1">
      <c r="A31" s="6"/>
      <c r="B31" s="6"/>
      <c r="C31" s="6"/>
      <c r="D31" s="6"/>
      <c r="E31" s="6"/>
      <c r="F31" s="6"/>
      <c r="G31" s="6"/>
    </row>
    <row r="32" ht="15.75" customHeight="1">
      <c r="A32" s="6"/>
      <c r="B32" s="6"/>
      <c r="C32" s="6"/>
      <c r="D32" s="6"/>
      <c r="E32" s="6"/>
      <c r="F32" s="6"/>
      <c r="G32" s="6"/>
    </row>
    <row r="33" ht="15.75" customHeight="1">
      <c r="A33" s="6"/>
      <c r="B33" s="6"/>
      <c r="C33" s="6"/>
      <c r="D33" s="6"/>
      <c r="E33" s="6"/>
      <c r="F33" s="6"/>
      <c r="G33" s="6"/>
    </row>
    <row r="34" ht="15.75" customHeight="1">
      <c r="A34" s="6"/>
      <c r="B34" s="6"/>
      <c r="C34" s="6"/>
      <c r="D34" s="6"/>
      <c r="E34" s="6"/>
      <c r="F34" s="6"/>
      <c r="G34" s="6"/>
    </row>
    <row r="35" ht="15.75" customHeight="1">
      <c r="A35" s="6"/>
      <c r="B35" s="6"/>
      <c r="C35" s="6"/>
      <c r="D35" s="6"/>
      <c r="E35" s="6"/>
      <c r="F35" s="6"/>
      <c r="G35" s="6"/>
    </row>
    <row r="36" ht="15.75" customHeight="1">
      <c r="A36" s="6"/>
      <c r="B36" s="6"/>
      <c r="C36" s="6"/>
      <c r="D36" s="6"/>
      <c r="E36" s="6"/>
      <c r="F36" s="6"/>
      <c r="G36" s="6"/>
    </row>
    <row r="37" ht="15.75" customHeight="1">
      <c r="A37" s="6"/>
      <c r="B37" s="6"/>
      <c r="C37" s="6"/>
      <c r="D37" s="6"/>
      <c r="E37" s="6"/>
      <c r="F37" s="6"/>
      <c r="G37" s="6"/>
    </row>
    <row r="38" ht="15.75" customHeight="1">
      <c r="A38" s="6"/>
      <c r="B38" s="6"/>
      <c r="C38" s="6"/>
      <c r="D38" s="6"/>
      <c r="E38" s="6"/>
      <c r="F38" s="6"/>
      <c r="G38" s="6"/>
    </row>
    <row r="39" ht="15.75" customHeight="1">
      <c r="A39" s="6"/>
      <c r="B39" s="6"/>
      <c r="C39" s="6"/>
      <c r="D39" s="6"/>
      <c r="E39" s="6"/>
      <c r="F39" s="6"/>
      <c r="G39" s="6"/>
    </row>
    <row r="40" ht="15.75" customHeight="1">
      <c r="A40" s="6"/>
      <c r="B40" s="6"/>
      <c r="C40" s="6"/>
      <c r="D40" s="6"/>
      <c r="E40" s="6"/>
      <c r="F40" s="6"/>
      <c r="G40" s="6"/>
    </row>
    <row r="41" ht="15.75" customHeight="1">
      <c r="A41" s="6"/>
      <c r="B41" s="6"/>
      <c r="C41" s="6"/>
      <c r="D41" s="6"/>
      <c r="E41" s="6"/>
      <c r="F41" s="6"/>
      <c r="G41" s="6"/>
    </row>
    <row r="42" ht="15.75" customHeight="1">
      <c r="A42" s="6"/>
      <c r="B42" s="6"/>
      <c r="C42" s="6"/>
      <c r="D42" s="6"/>
      <c r="E42" s="6"/>
      <c r="F42" s="6"/>
      <c r="G42" s="6"/>
    </row>
    <row r="43" ht="15.75" customHeight="1">
      <c r="A43" s="6"/>
      <c r="B43" s="6"/>
      <c r="C43" s="6"/>
      <c r="D43" s="6"/>
      <c r="E43" s="6"/>
      <c r="F43" s="6"/>
      <c r="G43" s="6"/>
    </row>
    <row r="44" ht="15.75" customHeight="1">
      <c r="A44" s="6"/>
      <c r="B44" s="6"/>
      <c r="C44" s="6"/>
      <c r="D44" s="6"/>
      <c r="E44" s="6"/>
      <c r="F44" s="6"/>
      <c r="G44" s="6"/>
    </row>
    <row r="45" ht="15.75" customHeight="1">
      <c r="A45" s="6"/>
      <c r="B45" s="6"/>
      <c r="C45" s="6"/>
      <c r="D45" s="6"/>
      <c r="E45" s="6"/>
      <c r="F45" s="6"/>
      <c r="G45" s="6"/>
    </row>
    <row r="46" ht="15.75" customHeight="1">
      <c r="A46" s="6"/>
      <c r="B46" s="6"/>
      <c r="C46" s="6"/>
      <c r="D46" s="6"/>
      <c r="E46" s="6"/>
      <c r="F46" s="6"/>
      <c r="G46" s="6"/>
    </row>
    <row r="47" ht="15.75" customHeight="1">
      <c r="A47" s="6"/>
      <c r="B47" s="6"/>
      <c r="C47" s="6"/>
      <c r="D47" s="6"/>
      <c r="E47" s="6"/>
      <c r="F47" s="6"/>
      <c r="G47" s="6"/>
    </row>
    <row r="48" ht="15.75" customHeight="1">
      <c r="A48" s="6"/>
      <c r="B48" s="6"/>
      <c r="C48" s="6"/>
      <c r="D48" s="6"/>
      <c r="E48" s="6"/>
      <c r="F48" s="6"/>
      <c r="G48" s="6"/>
    </row>
    <row r="49" ht="15.75" customHeight="1">
      <c r="A49" s="6"/>
      <c r="B49" s="6"/>
      <c r="C49" s="6"/>
      <c r="D49" s="6"/>
      <c r="E49" s="6"/>
      <c r="F49" s="6"/>
      <c r="G49" s="6"/>
    </row>
    <row r="50" ht="15.75" customHeight="1">
      <c r="A50" s="6"/>
      <c r="B50" s="6"/>
      <c r="C50" s="6"/>
      <c r="D50" s="6"/>
      <c r="E50" s="6"/>
      <c r="F50" s="6"/>
      <c r="G50" s="6"/>
    </row>
    <row r="51" ht="15.75" customHeight="1">
      <c r="A51" s="6"/>
      <c r="B51" s="6"/>
      <c r="C51" s="6"/>
      <c r="D51" s="6"/>
      <c r="E51" s="6"/>
      <c r="F51" s="6"/>
      <c r="G51" s="6"/>
    </row>
    <row r="52" ht="15.75" customHeight="1">
      <c r="A52" s="6"/>
      <c r="B52" s="6"/>
      <c r="C52" s="6"/>
      <c r="D52" s="6"/>
      <c r="E52" s="6"/>
      <c r="F52" s="6"/>
      <c r="G52" s="6"/>
    </row>
    <row r="53" ht="15.75" customHeight="1">
      <c r="A53" s="6"/>
      <c r="B53" s="6"/>
      <c r="C53" s="6"/>
      <c r="D53" s="6"/>
      <c r="E53" s="6"/>
      <c r="F53" s="6"/>
      <c r="G53" s="6"/>
    </row>
    <row r="54" ht="15.75" customHeight="1">
      <c r="A54" s="6"/>
      <c r="B54" s="6"/>
      <c r="C54" s="6"/>
      <c r="D54" s="6"/>
      <c r="E54" s="6"/>
      <c r="F54" s="6"/>
      <c r="G54" s="6"/>
    </row>
    <row r="55" ht="15.75" customHeight="1">
      <c r="A55" s="6"/>
      <c r="B55" s="6"/>
      <c r="C55" s="6"/>
      <c r="D55" s="6"/>
      <c r="E55" s="6"/>
      <c r="F55" s="6"/>
      <c r="G55" s="6"/>
    </row>
    <row r="56" ht="15.75" customHeight="1">
      <c r="A56" s="6"/>
      <c r="B56" s="6"/>
      <c r="C56" s="6"/>
      <c r="D56" s="6"/>
      <c r="E56" s="6"/>
      <c r="F56" s="6"/>
      <c r="G56" s="6"/>
    </row>
    <row r="57" ht="15.75" customHeight="1">
      <c r="A57" s="6"/>
      <c r="B57" s="6"/>
      <c r="C57" s="6"/>
      <c r="D57" s="6"/>
      <c r="E57" s="6"/>
      <c r="F57" s="6"/>
      <c r="G57" s="6"/>
    </row>
    <row r="58" ht="15.75" customHeight="1">
      <c r="A58" s="6"/>
      <c r="B58" s="6"/>
      <c r="C58" s="6"/>
      <c r="D58" s="6"/>
      <c r="E58" s="6"/>
      <c r="F58" s="6"/>
      <c r="G58" s="6"/>
    </row>
    <row r="59" ht="15.75" customHeight="1">
      <c r="A59" s="6"/>
      <c r="B59" s="6"/>
      <c r="C59" s="6"/>
      <c r="D59" s="6"/>
      <c r="E59" s="6"/>
      <c r="F59" s="6"/>
      <c r="G59" s="6"/>
    </row>
    <row r="60" ht="15.75" customHeight="1">
      <c r="A60" s="6"/>
      <c r="B60" s="6"/>
      <c r="C60" s="6"/>
      <c r="D60" s="6"/>
      <c r="E60" s="6"/>
      <c r="F60" s="6"/>
      <c r="G60" s="6"/>
    </row>
    <row r="61" ht="15.75" customHeight="1">
      <c r="A61" s="6"/>
      <c r="B61" s="6"/>
      <c r="C61" s="6"/>
      <c r="D61" s="6"/>
      <c r="E61" s="6"/>
      <c r="F61" s="6"/>
      <c r="G61" s="6"/>
    </row>
    <row r="62" ht="15.75" customHeight="1">
      <c r="A62" s="6"/>
      <c r="B62" s="6"/>
      <c r="C62" s="6"/>
      <c r="D62" s="6"/>
      <c r="E62" s="6"/>
      <c r="F62" s="6"/>
      <c r="G62" s="6"/>
    </row>
    <row r="63" ht="15.75" customHeight="1">
      <c r="A63" s="6"/>
      <c r="B63" s="6"/>
      <c r="C63" s="6"/>
      <c r="D63" s="6"/>
      <c r="E63" s="6"/>
      <c r="F63" s="6"/>
      <c r="G63" s="6"/>
    </row>
    <row r="64" ht="15.75" customHeight="1">
      <c r="A64" s="6"/>
      <c r="B64" s="6"/>
      <c r="C64" s="6"/>
      <c r="D64" s="6"/>
      <c r="E64" s="6"/>
      <c r="F64" s="6"/>
      <c r="G64" s="6"/>
    </row>
    <row r="65" ht="15.75" customHeight="1">
      <c r="A65" s="6"/>
      <c r="B65" s="6"/>
      <c r="C65" s="6"/>
      <c r="D65" s="6"/>
      <c r="E65" s="6"/>
      <c r="F65" s="6"/>
      <c r="G65" s="6"/>
    </row>
    <row r="66" ht="15.75" customHeight="1">
      <c r="A66" s="6"/>
      <c r="B66" s="6"/>
      <c r="C66" s="6"/>
      <c r="D66" s="6"/>
      <c r="E66" s="6"/>
      <c r="F66" s="6"/>
      <c r="G66" s="6"/>
    </row>
    <row r="67" ht="15.75" customHeight="1">
      <c r="A67" s="6"/>
      <c r="B67" s="6"/>
      <c r="C67" s="6"/>
      <c r="D67" s="6"/>
      <c r="E67" s="6"/>
      <c r="F67" s="6"/>
      <c r="G67" s="6"/>
    </row>
    <row r="68" ht="15.75" customHeight="1">
      <c r="A68" s="6"/>
      <c r="B68" s="6"/>
      <c r="C68" s="6"/>
      <c r="D68" s="6"/>
      <c r="E68" s="6"/>
      <c r="F68" s="6"/>
      <c r="G68" s="6"/>
    </row>
    <row r="69" ht="15.75" customHeight="1">
      <c r="A69" s="6"/>
      <c r="B69" s="6"/>
      <c r="C69" s="6"/>
      <c r="D69" s="6"/>
      <c r="E69" s="6"/>
      <c r="F69" s="6"/>
      <c r="G69" s="6"/>
    </row>
    <row r="70" ht="15.75" customHeight="1">
      <c r="A70" s="6"/>
      <c r="B70" s="6"/>
      <c r="C70" s="6"/>
      <c r="D70" s="6"/>
      <c r="E70" s="6"/>
      <c r="F70" s="6"/>
      <c r="G70" s="6"/>
    </row>
    <row r="71" ht="15.75" customHeight="1">
      <c r="A71" s="6"/>
      <c r="B71" s="6"/>
      <c r="C71" s="6"/>
      <c r="D71" s="6"/>
      <c r="E71" s="6"/>
      <c r="F71" s="6"/>
      <c r="G71" s="6"/>
    </row>
    <row r="72" ht="15.75" customHeight="1">
      <c r="A72" s="6"/>
      <c r="B72" s="6"/>
      <c r="C72" s="6"/>
      <c r="D72" s="6"/>
      <c r="E72" s="6"/>
      <c r="F72" s="6"/>
      <c r="G72" s="6"/>
    </row>
    <row r="73" ht="15.75" customHeight="1">
      <c r="A73" s="6"/>
      <c r="B73" s="6"/>
      <c r="C73" s="6"/>
      <c r="D73" s="6"/>
      <c r="E73" s="6"/>
      <c r="F73" s="6"/>
      <c r="G73" s="6"/>
    </row>
    <row r="74" ht="15.75" customHeight="1">
      <c r="A74" s="6"/>
      <c r="B74" s="6"/>
      <c r="C74" s="6"/>
      <c r="D74" s="6"/>
      <c r="E74" s="6"/>
      <c r="F74" s="6"/>
      <c r="G74" s="6"/>
    </row>
    <row r="75" ht="15.75" customHeight="1">
      <c r="A75" s="6"/>
      <c r="B75" s="6"/>
      <c r="C75" s="6"/>
      <c r="D75" s="6"/>
      <c r="E75" s="6"/>
      <c r="F75" s="6"/>
      <c r="G75" s="6"/>
    </row>
    <row r="76" ht="15.75" customHeight="1">
      <c r="A76" s="6"/>
      <c r="B76" s="6"/>
      <c r="C76" s="6"/>
      <c r="D76" s="6"/>
      <c r="E76" s="6"/>
      <c r="F76" s="6"/>
      <c r="G76" s="6"/>
    </row>
    <row r="77" ht="15.75" customHeight="1">
      <c r="A77" s="6"/>
      <c r="B77" s="6"/>
      <c r="C77" s="6"/>
      <c r="D77" s="6"/>
      <c r="E77" s="6"/>
      <c r="F77" s="6"/>
      <c r="G77" s="6"/>
    </row>
    <row r="78" ht="15.75" customHeight="1">
      <c r="A78" s="6"/>
      <c r="B78" s="6"/>
      <c r="C78" s="6"/>
      <c r="D78" s="6"/>
      <c r="E78" s="6"/>
      <c r="F78" s="6"/>
      <c r="G78" s="6"/>
    </row>
    <row r="79" ht="15.75" customHeight="1">
      <c r="A79" s="6"/>
      <c r="B79" s="6"/>
      <c r="C79" s="6"/>
      <c r="D79" s="6"/>
      <c r="E79" s="6"/>
      <c r="F79" s="6"/>
      <c r="G79" s="6"/>
    </row>
    <row r="80" ht="15.75" customHeight="1">
      <c r="A80" s="6"/>
      <c r="B80" s="6"/>
      <c r="C80" s="6"/>
      <c r="D80" s="6"/>
      <c r="E80" s="6"/>
      <c r="F80" s="6"/>
      <c r="G80" s="6"/>
    </row>
    <row r="81" ht="15.75" customHeight="1">
      <c r="A81" s="6"/>
      <c r="B81" s="6"/>
      <c r="C81" s="6"/>
      <c r="D81" s="6"/>
      <c r="E81" s="6"/>
      <c r="F81" s="6"/>
      <c r="G81" s="6"/>
    </row>
    <row r="82" ht="15.75" customHeight="1">
      <c r="A82" s="6"/>
      <c r="B82" s="6"/>
      <c r="C82" s="6"/>
      <c r="D82" s="6"/>
      <c r="E82" s="6"/>
      <c r="F82" s="6"/>
      <c r="G82" s="6"/>
    </row>
    <row r="83" ht="15.75" customHeight="1">
      <c r="A83" s="6"/>
      <c r="B83" s="6"/>
      <c r="C83" s="6"/>
      <c r="D83" s="6"/>
      <c r="E83" s="6"/>
      <c r="F83" s="6"/>
      <c r="G83" s="6"/>
    </row>
    <row r="84" ht="15.75" customHeight="1">
      <c r="A84" s="6"/>
      <c r="B84" s="6"/>
      <c r="C84" s="6"/>
      <c r="D84" s="6"/>
      <c r="E84" s="6"/>
      <c r="F84" s="6"/>
      <c r="G84" s="6"/>
    </row>
    <row r="85" ht="15.75" customHeight="1">
      <c r="A85" s="6"/>
      <c r="B85" s="6"/>
      <c r="C85" s="6"/>
      <c r="D85" s="6"/>
      <c r="E85" s="6"/>
      <c r="F85" s="6"/>
      <c r="G85" s="6"/>
    </row>
    <row r="86" ht="15.75" customHeight="1">
      <c r="A86" s="6"/>
      <c r="B86" s="6"/>
      <c r="C86" s="6"/>
      <c r="D86" s="6"/>
      <c r="E86" s="6"/>
      <c r="F86" s="6"/>
      <c r="G86" s="6"/>
    </row>
    <row r="87" ht="15.75" customHeight="1">
      <c r="A87" s="6"/>
      <c r="B87" s="6"/>
      <c r="C87" s="6"/>
      <c r="D87" s="6"/>
      <c r="E87" s="6"/>
      <c r="F87" s="6"/>
      <c r="G87" s="6"/>
    </row>
    <row r="88" ht="15.75" customHeight="1">
      <c r="A88" s="6"/>
      <c r="B88" s="6"/>
      <c r="C88" s="6"/>
      <c r="D88" s="6"/>
      <c r="E88" s="6"/>
      <c r="F88" s="6"/>
      <c r="G88" s="6"/>
    </row>
    <row r="89" ht="15.75" customHeight="1">
      <c r="A89" s="6"/>
      <c r="B89" s="6"/>
      <c r="C89" s="6"/>
      <c r="D89" s="6"/>
      <c r="E89" s="6"/>
      <c r="F89" s="6"/>
      <c r="G89" s="6"/>
    </row>
    <row r="90" ht="15.75" customHeight="1">
      <c r="A90" s="6"/>
      <c r="B90" s="6"/>
      <c r="C90" s="6"/>
      <c r="D90" s="6"/>
      <c r="E90" s="6"/>
      <c r="F90" s="6"/>
      <c r="G90" s="6"/>
    </row>
    <row r="91" ht="15.75" customHeight="1">
      <c r="A91" s="6"/>
      <c r="B91" s="6"/>
      <c r="C91" s="6"/>
      <c r="D91" s="6"/>
      <c r="E91" s="6"/>
      <c r="F91" s="6"/>
      <c r="G91" s="6"/>
    </row>
    <row r="92" ht="15.75" customHeight="1">
      <c r="A92" s="6"/>
      <c r="B92" s="6"/>
      <c r="C92" s="6"/>
      <c r="D92" s="6"/>
      <c r="E92" s="6"/>
      <c r="F92" s="6"/>
      <c r="G92" s="6"/>
    </row>
    <row r="93" ht="15.75" customHeight="1">
      <c r="A93" s="6"/>
      <c r="B93" s="6"/>
      <c r="C93" s="6"/>
      <c r="D93" s="6"/>
      <c r="E93" s="6"/>
      <c r="F93" s="6"/>
      <c r="G93" s="6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